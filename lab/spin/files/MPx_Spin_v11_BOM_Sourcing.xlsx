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Teardown" sheetId="2" state="visible" r:id="rId4"/>
    <sheet name="Assumptions" sheetId="3" state="visible" r:id="rId5"/>
    <sheet name="Running cost" sheetId="4" state="visible" r:id="rId6"/>
    <sheet name="Suppliers" sheetId="5" state="visible" r:id="rId7"/>
    <sheet name="FMEA" sheetId="6" state="visible" r:id="rId8"/>
    <sheet name="TRIZ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One-off prototype estimates for Bangalore job shops. Replace every yellow cell with a quote.</t>
        </r>
      </text>
    </comment>
  </commentList>
</comments>
</file>

<file path=xl/sharedStrings.xml><?xml version="1.0" encoding="utf-8"?>
<sst xmlns="http://schemas.openxmlformats.org/spreadsheetml/2006/main" count="687" uniqueCount="522">
  <si>
    <t xml:space="preserve">Item</t>
  </si>
  <si>
    <t xml:space="preserve">Part</t>
  </si>
  <si>
    <t xml:space="preserve">Spec to order</t>
  </si>
  <si>
    <t xml:space="preserve">Make / Buy</t>
  </si>
  <si>
    <t xml:space="preserve">Qty per kit</t>
  </si>
  <si>
    <t xml:space="preserve">Unit cost ₹ (prototype)</t>
  </si>
  <si>
    <t xml:space="preserve">Line cost ₹</t>
  </si>
  <si>
    <t xml:space="preserve">Price basis</t>
  </si>
  <si>
    <t xml:space="preserve">Supplier candidates</t>
  </si>
  <si>
    <t xml:space="preserve">Lid with fill chute and window</t>
  </si>
  <si>
    <t xml:space="preserve">304 lid Ø168 × 0.8–1.2 pressed or spun, Ø16 chute, funnel, Ø20 glass window</t>
  </si>
  <si>
    <t xml:space="preserve">Make</t>
  </si>
  <si>
    <t xml:space="preserve">Estimate, one-off fabrication</t>
  </si>
  <si>
    <t xml:space="preserve">SS fabricators, Peenya / Jigani (Bangalore)</t>
  </si>
  <si>
    <t xml:space="preserve">Lid interlock + lock</t>
  </si>
  <si>
    <t xml:space="preserve">12 mm reed switch + magnet; 24 V mini push solenoid</t>
  </si>
  <si>
    <t xml:space="preserve">Buy</t>
  </si>
  <si>
    <t xml:space="preserve">Reed ₹28 (Robocraze) + magnet + solenoid estimate</t>
  </si>
  <si>
    <t xml:space="preserve">Robocraze; Robu; local electronics</t>
  </si>
  <si>
    <t xml:space="preserve">Bowl, spout and flow pins</t>
  </si>
  <si>
    <t xml:space="preserve">304 sheet 0.8 mm rolled Ø150 × 226, welded floor, boss for the seal, Ø10 spout, 2 × 316 Ø1.6 pins</t>
  </si>
  <si>
    <t xml:space="preserve">SS fabricators, Peenya / Jigani</t>
  </si>
  <si>
    <t xml:space="preserve">Sleeve clamp ring</t>
  </si>
  <si>
    <t xml:space="preserve">316 Ø66 × 4, ID 52, knurled</t>
  </si>
  <si>
    <t xml:space="preserve">Estimate, CNC one-off</t>
  </si>
  <si>
    <t xml:space="preserve">CNC job shops, Peenya</t>
  </si>
  <si>
    <t xml:space="preserve">Sleeve O-ring</t>
  </si>
  <si>
    <t xml:space="preserve">Silicone 51 × 1.6, food grade (from a kit)</t>
  </si>
  <si>
    <t xml:space="preserve">Share of a ₹600 silicone O-ring kit</t>
  </si>
  <si>
    <t xml:space="preserve">Cart2India / IndiaMART O-ring kits</t>
  </si>
  <si>
    <t xml:space="preserve">Filter sleeve, two layers (consumable)</t>
  </si>
  <si>
    <t xml:space="preserve">Whatman 602 h, 240 mm circles (cat. 10312620): 4 per sleeve</t>
  </si>
  <si>
    <t xml:space="preserve">Formula: pack price × rate × import ÷ 100 × circles per sleeve</t>
  </si>
  <si>
    <t xml:space="preserve">Cytiva/Whatman via Indian lab distributors (Biomall, Chemopharm)</t>
  </si>
  <si>
    <t xml:space="preserve">Mesh wrap, 50 µm</t>
  </si>
  <si>
    <t xml:space="preserve">316L 300-mesh twill, 1 sq ft (uses 0.037 m²)</t>
  </si>
  <si>
    <t xml:space="preserve">Estimate; IndiaMART 316 filter cloth lists ₹50–450/sq ft</t>
  </si>
  <si>
    <t xml:space="preserve">Banaraswala Wire Mesh; Ambani Metals; Satish Wire</t>
  </si>
  <si>
    <t xml:space="preserve">Basket with welded vanes</t>
  </si>
  <si>
    <t xml:space="preserve">316L perforated 0.6 mm Ø2/3.1 mm hex, 300 × 300 piece + 316 floor/hub + 4 vanes; roll, seam and TIG</t>
  </si>
  <si>
    <t xml:space="preserve">Estimate: sheet ₹1,500 + CNC ₹800 + laser ₹400 + welding ₹1,500</t>
  </si>
  <si>
    <t xml:space="preserve">Perforated sheet: Adarsh Metal Perforators, Excel Metal (Mumbai); welding: Peenya</t>
  </si>
  <si>
    <t xml:space="preserve">Sleeve floor gasket</t>
  </si>
  <si>
    <t xml:space="preserve">Silicone sheet 300 × 300 × 1.5, food grade; cut rings</t>
  </si>
  <si>
    <t xml:space="preserve">Estimate</t>
  </si>
  <si>
    <t xml:space="preserve">IndiaMART silicone sheet suppliers</t>
  </si>
  <si>
    <t xml:space="preserve">Drive coupler</t>
  </si>
  <si>
    <t xml:space="preserve">316 Ø18 × 6, Ø5 bore, M3 grub</t>
  </si>
  <si>
    <t xml:space="preserve">Estimate, CNC one-off; 316 bar ≈ ₹240/kg</t>
  </si>
  <si>
    <t xml:space="preserve">Shaft lip seal</t>
  </si>
  <si>
    <t xml:space="preserve">FKM 5 × 12 × 4</t>
  </si>
  <si>
    <t xml:space="preserve">Seal stockists (Moglix, local bearing shops)</t>
  </si>
  <si>
    <t xml:space="preserve">Base housing</t>
  </si>
  <si>
    <t xml:space="preserve">PETG print ≈ 250 g, 0.6 mm walls</t>
  </si>
  <si>
    <t xml:space="preserve">Estimate, Bangalore print services ≈ ₹5–7/g</t>
  </si>
  <si>
    <t xml:space="preserve">Local FDM print services</t>
  </si>
  <si>
    <t xml:space="preserve">Feet ×4</t>
  </si>
  <si>
    <t xml:space="preserve">Silicone bumpers Ø14</t>
  </si>
  <si>
    <t xml:space="preserve">Hardware stores</t>
  </si>
  <si>
    <t xml:space="preserve">Motor 42BLS02</t>
  </si>
  <si>
    <t xml:space="preserve">24 V, 4,000 rpm, 0.125 N·m, 52.5 W, 61 mm; confirm hall leads</t>
  </si>
  <si>
    <t xml:space="preserve">robu.in listing, Oct 2026</t>
  </si>
  <si>
    <t xml:space="preserve">Robu.in; Aerokart; Robodo (JK42BLS04, ₹3,200, if more torque is needed)</t>
  </si>
  <si>
    <t xml:space="preserve">Controller</t>
  </si>
  <si>
    <t xml:space="preserve">ESP32 DevKit V1 ₹405 + ZS-X11H 6–60 V hall BLDC driver ₹1,299 + knob, LED, toggle, perfboard ₹400</t>
  </si>
  <si>
    <t xml:space="preserve">techiesms.com + probots.co.in listings + estimate</t>
  </si>
  <si>
    <t xml:space="preserve">Probots; Techiesms; Robocraze</t>
  </si>
  <si>
    <t xml:space="preserve">24 V 5 A supply</t>
  </si>
  <si>
    <t xml:space="preserve">SMPS 100–240 V in, 24 V 5 A out, plus DC jack and cable</t>
  </si>
  <si>
    <t xml:space="preserve">robocraze.com listing ₹707 + ₹100 cable</t>
  </si>
  <si>
    <t xml:space="preserve">Robocraze; Probots (Mean Well LRS series)</t>
  </si>
  <si>
    <t xml:space="preserve">Fasteners</t>
  </si>
  <si>
    <t xml:space="preserve">A4 stainless M3/M4 screws, grub screws</t>
  </si>
  <si>
    <t xml:space="preserve">Local</t>
  </si>
  <si>
    <t xml:space="preserve">Electropolish + passivation</t>
  </si>
  <si>
    <t xml:space="preserve">All 304/316 wet parts, ASTM A967</t>
  </si>
  <si>
    <t xml:space="preserve">Estimate per lot</t>
  </si>
  <si>
    <t xml:space="preserve">SS finishing shops, Peenya</t>
  </si>
  <si>
    <t xml:space="preserve">Prototype kit, all lines (₹)</t>
  </si>
  <si>
    <t xml:space="preserve">Kits to build</t>
  </si>
  <si>
    <t xml:space="preserve">Prototype hardware budget (₹)</t>
  </si>
  <si>
    <t xml:space="preserve">Sleeve stock: one pack of 100 circles = 25 sleeves (₹)</t>
  </si>
  <si>
    <t xml:space="preserve">Total with sleeve stock (₹)</t>
  </si>
  <si>
    <t xml:space="preserve">PD-298 prototyping cap (₹)</t>
  </si>
  <si>
    <t xml:space="preserve">Within cap?</t>
  </si>
  <si>
    <t xml:space="preserve">Blue on yellow: estimate or choice to replace with an RFQ quote. Green: pulled from the Assumptions tab. Black: formula.</t>
  </si>
  <si>
    <t xml:space="preserve">Function</t>
  </si>
  <si>
    <t xml:space="preserve">Material</t>
  </si>
  <si>
    <t xml:space="preserve">Process</t>
  </si>
  <si>
    <t xml:space="preserve">Mass g (drawn)</t>
  </si>
  <si>
    <t xml:space="preserve">Mates with</t>
  </si>
  <si>
    <t xml:space="preserve">Change in v1.1 (TRIZ / FMEA ref.)</t>
  </si>
  <si>
    <t xml:space="preserve">Closes the bowl; Ø16 chute and funnel dose the batch; glass window to watch the drain</t>
  </si>
  <si>
    <t xml:space="preserve">304, 1.2 mm; borosilicate window</t>
  </si>
  <si>
    <t xml:space="preserve">Spin/press lid, roll + TIG chute, TIG funnel</t>
  </si>
  <si>
    <t xml:space="preserve">3 bowl rim; 2 interlock tab</t>
  </si>
  <si>
    <t xml:space="preserve">Lid held locked while the basket turns (FMEA 15)</t>
  </si>
  <si>
    <t xml:space="preserve">Reed switch proves the lid is shut; solenoid pin holds it until speed = 0</t>
  </si>
  <si>
    <t xml:space="preserve">Bought: reed switch, magnet, 24 V mini solenoid</t>
  </si>
  <si>
    <t xml:space="preserve">Buy; mount on base deck</t>
  </si>
  <si>
    <t xml:space="preserve">1 lid tab; 15 controller</t>
  </si>
  <si>
    <t xml:space="preserve">Lock added (FMEA 15, PC4)</t>
  </si>
  <si>
    <t xml:space="preserve">Catches the water off the cage; spout to the jug; two pins sense water in the spout</t>
  </si>
  <si>
    <t xml:space="preserve">304, 1.0 mm (drawn), 0.6–0.8 mm in prototype</t>
  </si>
  <si>
    <t xml:space="preserve">Roll + seam weld, weld floor and boss, roll rim; tube spout; 316 pins</t>
  </si>
  <si>
    <t xml:space="preserve">12 base; 11 seal in the boss; 1 lid</t>
  </si>
  <si>
    <t xml:space="preserve">Flow pins added: batch-end and end-of-life signal (principle 23 Feedback; FMEA 10, 12, 14; req. 4.2)</t>
  </si>
  <si>
    <t xml:space="preserve">Clamps the sleeve top onto the cage rim</t>
  </si>
  <si>
    <t xml:space="preserve">316</t>
  </si>
  <si>
    <t xml:space="preserve">CNC turn, knurl</t>
  </si>
  <si>
    <t xml:space="preserve">8 basket; 5 O-ring; 6 sleeve</t>
  </si>
  <si>
    <t xml:space="preserve">—</t>
  </si>
  <si>
    <t xml:space="preserve">Seals the sleeve top edge</t>
  </si>
  <si>
    <t xml:space="preserve">Silicone 60 ShA, food grade</t>
  </si>
  <si>
    <t xml:space="preserve">4 ring; 6 sleeve</t>
  </si>
  <si>
    <t xml:space="preserve">Filter sleeve, two layers</t>
  </si>
  <si>
    <t xml:space="preserve">The filter and the sample; inner layer catches most, outer layer catches what passes and covers inner seams</t>
  </si>
  <si>
    <t xml:space="preserve">Cellulose, Grade 602 h class, 2 layers</t>
  </si>
  <si>
    <t xml:space="preserve">Cut 4 strips from 240 mm circles; 20 mm overlaps, seams 90° apart</t>
  </si>
  <si>
    <t xml:space="preserve">8 cage (via 7 mesh); 9 gasket; 5 O-ring</t>
  </si>
  <si>
    <t xml:space="preserve">Second layer (TC1, PC1); 20 mm overlaps pressed shut by the spin (principle 25)</t>
  </si>
  <si>
    <t xml:space="preserve">Holds the wet paper over the Ø2 holes</t>
  </si>
  <si>
    <t xml:space="preserve">316L 300-mesh twill</t>
  </si>
  <si>
    <t xml:space="preserve">Cut, wrap, spot-weld seam</t>
  </si>
  <si>
    <t xml:space="preserve">8 cage</t>
  </si>
  <si>
    <t xml:space="preserve">Spins the batch; vanes drag the water to ≈ 85 % of basket speed</t>
  </si>
  <si>
    <t xml:space="preserve">316L perforated 0.6 mm, Ø2 at 40 % open; 4 vanes 1 mm; floor + hub</t>
  </si>
  <si>
    <t xml:space="preserve">Laser cut, roll + seam weld, TIG vanes to floor and tie ring</t>
  </si>
  <si>
    <t xml:space="preserve">10 coupler; 6 sleeve; 4 ring</t>
  </si>
  <si>
    <t xml:space="preserve">Vanes welded in: one part fewer to remove (TC3, principle 10; FMEA 9, 17); vane tips at r 28 leave room to slide the sleeve in</t>
  </si>
  <si>
    <t xml:space="preserve">Seals the sleeve's bottom edge to the floor</t>
  </si>
  <si>
    <t xml:space="preserve">Silicone sheet 1.5 mm, food grade</t>
  </si>
  <si>
    <t xml:space="preserve">Die/knife cut</t>
  </si>
  <si>
    <t xml:space="preserve">8 basket floor; 6 sleeve</t>
  </si>
  <si>
    <t xml:space="preserve">New: closes the bottom bypass (FMEA 2)</t>
  </si>
  <si>
    <t xml:space="preserve">Joins the basket to the Ø5 motor shaft</t>
  </si>
  <si>
    <t xml:space="preserve">CNC turn, M3 grub screw</t>
  </si>
  <si>
    <t xml:space="preserve">14 shaft; 8 basket</t>
  </si>
  <si>
    <t xml:space="preserve">Keeps water out of the dry base</t>
  </si>
  <si>
    <t xml:space="preserve">FKM, 5 × 12 × 4</t>
  </si>
  <si>
    <t xml:space="preserve">3 bowl boss; 14 shaft</t>
  </si>
  <si>
    <t xml:space="preserve">Boss raised 14 mm above the floor; drip path (FMEA 7)</t>
  </si>
  <si>
    <t xml:space="preserve">Holds motor, controller, controls; dry side</t>
  </si>
  <si>
    <t xml:space="preserve">PETG (prototype) / PC-ABS (product)</t>
  </si>
  <si>
    <t xml:space="preserve">FDM print / injection mould</t>
  </si>
  <si>
    <t xml:space="preserve">3 bowl; 13 feet; 14, 15</t>
  </si>
  <si>
    <t xml:space="preserve">Grip and isolate vibration</t>
  </si>
  <si>
    <t xml:space="preserve">Silicone</t>
  </si>
  <si>
    <t xml:space="preserve">12 base</t>
  </si>
  <si>
    <t xml:space="preserve">24 V BLDC, 4,000 rpm rated, 0.125 N·m, hall sensors give the true speed</t>
  </si>
  <si>
    <t xml:space="preserve">Bought</t>
  </si>
  <si>
    <t xml:space="preserve">12 base via mount plate; 10 coupler</t>
  </si>
  <si>
    <t xml:space="preserve">Closed-loop speed from the hall signals (FMEA 6)</t>
  </si>
  <si>
    <t xml:space="preserve">Controller: ESP32 + BLDC driver</t>
  </si>
  <si>
    <t xml:space="preserve">Runs the speed profile (≤ 5× face velocity, up to 2,500 rpm), interlock, lock, flow pins</t>
  </si>
  <si>
    <t xml:space="preserve">Bought: ESP32 DevKit, ZS-X11H driver</t>
  </si>
  <si>
    <t xml:space="preserve">Buy; wire on perfboard</t>
  </si>
  <si>
    <t xml:space="preserve">14 motor; 2 lock; 3 pins; 16 supply</t>
  </si>
  <si>
    <t xml:space="preserve">Speed profile (TC2, PC2); end-of-life alert (req. 4.2)</t>
  </si>
  <si>
    <t xml:space="preserve">Power</t>
  </si>
  <si>
    <t xml:space="preserve">Bought SMPS</t>
  </si>
  <si>
    <t xml:space="preserve">15 controller</t>
  </si>
  <si>
    <t xml:space="preserve">External; not drawn</t>
  </si>
  <si>
    <t xml:space="preserve">Total mass as drawn (g)</t>
  </si>
  <si>
    <t xml:space="preserve">Spinning mass: items 4–10 (g)</t>
  </si>
  <si>
    <t xml:space="preserve">Masses from the teardown geometry (Pappus volumes × density). The drawn bowl and lid are 1.0–1.2 mm; at 0.6–0.8 mm the unit is about 0.6 kg lighter.</t>
  </si>
  <si>
    <t xml:space="preserve">Assumption</t>
  </si>
  <si>
    <t xml:space="preserve">Value</t>
  </si>
  <si>
    <t xml:space="preserve">Unit</t>
  </si>
  <si>
    <t xml:space="preserve">Source / note</t>
  </si>
  <si>
    <t xml:space="preserve">USD → INR exchange rate</t>
  </si>
  <si>
    <t xml:space="preserve">₹/$</t>
  </si>
  <si>
    <t xml:space="preserve">Assumed for Oct 2026; edit to the day's rate</t>
  </si>
  <si>
    <t xml:space="preserve">Import, shipping and duty on imported lab paper</t>
  </si>
  <si>
    <t xml:space="preserve">fraction</t>
  </si>
  <si>
    <t xml:space="preserve">Assumed; Indian lab distributors quote landed prices on login</t>
  </si>
  <si>
    <t xml:space="preserve">Grade 602 h, 240 mm circles, pack of 100</t>
  </si>
  <si>
    <t xml:space="preserve">$/pack</t>
  </si>
  <si>
    <t xml:space="preserve">scientificfilters.com list (cat. 10312620), Oct 2026</t>
  </si>
  <si>
    <t xml:space="preserve">602 h circles per two-layer sleeve</t>
  </si>
  <si>
    <t xml:space="preserve">circles</t>
  </si>
  <si>
    <t xml:space="preserve">A 240 mm circle yields a 158 × 180 mm strip; 2 strips per layer, 2 layers</t>
  </si>
  <si>
    <t xml:space="preserve">Prototype kits to build</t>
  </si>
  <si>
    <t xml:space="preserve">kits</t>
  </si>
  <si>
    <t xml:space="preserve">One to test, one to break</t>
  </si>
  <si>
    <t xml:space="preserve">PD-298 prototyping cap</t>
  </si>
  <si>
    <t xml:space="preserve">₹</t>
  </si>
  <si>
    <t xml:space="preserve">Department cap used for earlier MPx concepts; edit if different</t>
  </si>
  <si>
    <t xml:space="preserve">Sleeve life, tap water (simulated)</t>
  </si>
  <si>
    <t xml:space="preserve">L</t>
  </si>
  <si>
    <t xml:space="preserve">v11.mjs: litres until the batch cycle falls below 15 L/h; cake resistance assumed</t>
  </si>
  <si>
    <t xml:space="preserve">Sleeve life, borewell (simulated)</t>
  </si>
  <si>
    <t xml:space="preserve">same model, 2 mg/L solids</t>
  </si>
  <si>
    <t xml:space="preserve">Sleeve life, turbid surface (simulated)</t>
  </si>
  <si>
    <t xml:space="preserve">same model, 10 mg/L solids</t>
  </si>
  <si>
    <t xml:space="preserve">Blue text on yellow = input you can edit; every other number in the workbook is a formula or comes from the drawings.</t>
  </si>
  <si>
    <t xml:space="preserve">Water</t>
  </si>
  <si>
    <t xml:space="preserve">Sleeve life (L, simulated)</t>
  </si>
  <si>
    <t xml:space="preserve">Sleeve cost ₹</t>
  </si>
  <si>
    <t xml:space="preserve">Cost per litre ₹</t>
  </si>
  <si>
    <t xml:space="preserve">Sleeves per year at 3 L/day</t>
  </si>
  <si>
    <t xml:space="preserve">Sleeve cost per year ₹</t>
  </si>
  <si>
    <t xml:space="preserve">Tap</t>
  </si>
  <si>
    <t xml:space="preserve">Borewell</t>
  </si>
  <si>
    <t xml:space="preserve">Turbid surface</t>
  </si>
  <si>
    <t xml:space="preserve">Sleeve life = litres until the batch cycle falls below 15 L/h (cake on the sleeve, α = 10¹³ m/kg assumed). Bench test 4 replaces it.</t>
  </si>
  <si>
    <t xml:space="preserve">Supplier / listing</t>
  </si>
  <si>
    <t xml:space="preserve">Location</t>
  </si>
  <si>
    <t xml:space="preserve">What they list</t>
  </si>
  <si>
    <t xml:space="preserve">Ask in the RFQ</t>
  </si>
  <si>
    <t xml:space="preserve">Source</t>
  </si>
  <si>
    <t xml:space="preserve">14</t>
  </si>
  <si>
    <t xml:space="preserve">Robu.in — 42BLS02</t>
  </si>
  <si>
    <t xml:space="preserve">Pune (online)</t>
  </si>
  <si>
    <t xml:space="preserve">24 V BLDC 4,000 rpm, 0.125 N·m, 52.5 W, 61 mm, 430 g, ₹2,080</t>
  </si>
  <si>
    <t xml:space="preserve">Confirm hall-sensor leads and 5 mm shaft</t>
  </si>
  <si>
    <t xml:space="preserve">https://st.robu.in/product/42bls02-24v-rpm4000-0-125-n-cm-61mm</t>
  </si>
  <si>
    <t xml:space="preserve">14 alt</t>
  </si>
  <si>
    <t xml:space="preserve">Robodo — JK42BLS04</t>
  </si>
  <si>
    <t xml:space="preserve">online</t>
  </si>
  <si>
    <t xml:space="preserve">24 V, 4,000 rpm, 0.25 N·m, 105 W, Ø5 shaft, hall sensors, 100 mm, ₹3,200</t>
  </si>
  <si>
    <t xml:space="preserve">If spin-up torque is short</t>
  </si>
  <si>
    <t xml:space="preserve">https://robodo.in/products/jk42bls04-brushless-motor-105-watt-bldc</t>
  </si>
  <si>
    <t xml:space="preserve">15</t>
  </si>
  <si>
    <t xml:space="preserve">Probots — ZS-X11H</t>
  </si>
  <si>
    <t xml:space="preserve">Bangalore (online)</t>
  </si>
  <si>
    <t xml:space="preserve">6–60 V, 400 W hall BLDC driver, PWM / 0–5 V speed input, ₹1,299</t>
  </si>
  <si>
    <t xml:space="preserve">Speed-pulse output for closed loop</t>
  </si>
  <si>
    <t xml:space="preserve">https://probots.co.in/zs-x11h-400w-bldc-3-phase-brushless-motor-controller-6v-60v-pwm-hall-driver-module.html</t>
  </si>
  <si>
    <t xml:space="preserve">Techiesms — ESP32 DevKit V1</t>
  </si>
  <si>
    <t xml:space="preserve">ESP32-WROOM-32 board, ₹405</t>
  </si>
  <si>
    <t xml:space="preserve">https://techiesms.com/product/esp32-development-board-doit-devkit-v1/</t>
  </si>
  <si>
    <t xml:space="preserve">16</t>
  </si>
  <si>
    <t xml:space="preserve">Robocraze — 24 V 5 A SMPS</t>
  </si>
  <si>
    <t xml:space="preserve">100–240 V in, 24 V 5 A, IP20 metal case, ₹707</t>
  </si>
  <si>
    <t xml:space="preserve">Enclosed desktop adapter for the product</t>
  </si>
  <si>
    <t xml:space="preserve">https://robocraze.com/products/24v-5a-smps-power-supply</t>
  </si>
  <si>
    <t xml:space="preserve">2</t>
  </si>
  <si>
    <t xml:space="preserve">Robocraze — 12 mm reed switch</t>
  </si>
  <si>
    <t xml:space="preserve">NO reed, 1.2 A, 24 V DC, ₹28</t>
  </si>
  <si>
    <t xml:space="preserve">Pair with a 24 V mini solenoid for the lock</t>
  </si>
  <si>
    <t xml:space="preserve">https://robocraze.com/products/12mm-reed-switch</t>
  </si>
  <si>
    <t xml:space="preserve">6</t>
  </si>
  <si>
    <t xml:space="preserve">Whatman 602 h circles</t>
  </si>
  <si>
    <t xml:space="preserve">Cytiva via distributors</t>
  </si>
  <si>
    <t xml:space="preserve">602 h, 100 per pack: 125 mm $37.93, 150 mm $55.06, 185 mm $80.87, 240 mm $134.29 list ($118.76 sale)</t>
  </si>
  <si>
    <t xml:space="preserve">Ask Cytiva India for 602 h in sheets or rolls (no 602 h sheets were found listed)</t>
  </si>
  <si>
    <t xml:space="preserve">https://scientificfilters.com/whatman/6-602h</t>
  </si>
  <si>
    <t xml:space="preserve">6 alt</t>
  </si>
  <si>
    <t xml:space="preserve">Whatman Grade 42, 46 × 57 cm sheets</t>
  </si>
  <si>
    <t xml:space="preserve">Chemopharm (India)</t>
  </si>
  <si>
    <t xml:space="preserve">Cat. 1442-917, 100 sheets; 8–12 weeks</t>
  </si>
  <si>
    <t xml:space="preserve">Slower and coarser (2.5 µm) than 602 h; fallback only</t>
  </si>
  <si>
    <t xml:space="preserve">https://store.chemopharm.com/no-42-filter-sheets-46x57cm-100-wh-ma-bo-1442917</t>
  </si>
  <si>
    <t xml:space="preserve">7</t>
  </si>
  <si>
    <t xml:space="preserve">IndiaMART filter wire cloth</t>
  </si>
  <si>
    <t xml:space="preserve">Coimbatore / Mumbai</t>
  </si>
  <si>
    <t xml:space="preserve">316 filter cloth ₹50–450 per sq ft (Banaraswala 400-mesh ₹50/sq ft; Ambani Metals 150-mesh twill ₹450/sq ft)</t>
  </si>
  <si>
    <t xml:space="preserve">300-mesh 316L twill, 1 sq ft, mill certificate</t>
  </si>
  <si>
    <t xml:space="preserve">https://m.indiamart.com/impcat/filter-wire-cloth.html</t>
  </si>
  <si>
    <t xml:space="preserve">8</t>
  </si>
  <si>
    <t xml:space="preserve">Perforated sheet (L&amp;T SuFin listings)</t>
  </si>
  <si>
    <t xml:space="preserve">Mumbai</t>
  </si>
  <si>
    <t xml:space="preserve">SS 316 perforated sheets 1,250 × 2,500 (Adarsh Metal Perforators)</t>
  </si>
  <si>
    <t xml:space="preserve">0.6 mm 316L, Ø2 holes, 3.1 mm 60° pitch, 300 × 300 cut piece</t>
  </si>
  <si>
    <t xml:space="preserve">https://lntsufin.com/product/adarsh-metal-perforators-2-mm-stainless-steel-perforated-sheet-for-screening-and-fencing-1250-x-2500-mm-ss-316-astm-a240/16120-466</t>
  </si>
  <si>
    <t xml:space="preserve">4, 8, 10</t>
  </si>
  <si>
    <t xml:space="preserve">SS 316 round bar</t>
  </si>
  <si>
    <t xml:space="preserve">Raigad (L&amp;T SuFin)</t>
  </si>
  <si>
    <t xml:space="preserve">Category RFQ prices ₹226–250/kg (Jul–Sep 2026)</t>
  </si>
  <si>
    <t xml:space="preserve">Ø20 and Ø70 offcuts</t>
  </si>
  <si>
    <t xml:space="preserve">https://lntsufin.com/product/sps-ss-316-20-mm-stainless-steel-round-bars-6-m/17330-457</t>
  </si>
  <si>
    <t xml:space="preserve">Carson MicroFlip MP-250 (already owned)</t>
  </si>
  <si>
    <t xml:space="preserve">Tanotis (India)</t>
  </si>
  <si>
    <t xml:space="preserve">100–250× pocket microscope, ₹3,390 incl. GST and import</t>
  </si>
  <si>
    <t xml:space="preserve">Spare unit for the second kit</t>
  </si>
  <si>
    <t xml:space="preserve">https://tanotis.com/products/carson-microflip-mp-250-100-250x-pocket-microscope</t>
  </si>
  <si>
    <t xml:space="preserve">#</t>
  </si>
  <si>
    <t xml:space="preserve">Part / function</t>
  </si>
  <si>
    <t xml:space="preserve">Failure mode</t>
  </si>
  <si>
    <t xml:space="preserve">Effect on user</t>
  </si>
  <si>
    <t xml:space="preserve">Cause</t>
  </si>
  <si>
    <t xml:space="preserve">Control (v1)</t>
  </si>
  <si>
    <t xml:space="preserve">O</t>
  </si>
  <si>
    <t xml:space="preserve">S</t>
  </si>
  <si>
    <t xml:space="preserve">D</t>
  </si>
  <si>
    <t xml:space="preserve">RN</t>
  </si>
  <si>
    <t xml:space="preserve">Critical?</t>
  </si>
  <si>
    <t xml:space="preserve">Action in v1.1</t>
  </si>
  <si>
    <t xml:space="preserve">O new</t>
  </si>
  <si>
    <t xml:space="preserve">S new</t>
  </si>
  <si>
    <t xml:space="preserve">D new</t>
  </si>
  <si>
    <t xml:space="preserve">RN new</t>
  </si>
  <si>
    <t xml:space="preserve">Req.</t>
  </si>
  <si>
    <t xml:space="preserve">New in v1.1</t>
  </si>
  <si>
    <t xml:space="preserve">Sleeve paper</t>
  </si>
  <si>
    <t xml:space="preserve">Capture falls at high face velocity</t>
  </si>
  <si>
    <t xml:space="preserve">1–2 µm particles pass</t>
  </si>
  <si>
    <t xml:space="preserve">Rated at 1/7 of the working velocity</t>
  </si>
  <si>
    <t xml:space="preserve">None</t>
  </si>
  <si>
    <t xml:space="preserve">Speed profile ≤ 5× face velocity; second layer; bead test 5</t>
  </si>
  <si>
    <t xml:space="preserve">6.1</t>
  </si>
  <si>
    <t xml:space="preserve">Sleeve seam and ends</t>
  </si>
  <si>
    <t xml:space="preserve">Water bypasses the paper</t>
  </si>
  <si>
    <t xml:space="preserve">Unfiltered particles reach the jug</t>
  </si>
  <si>
    <t xml:space="preserve">Seam or ends unsealed (rig K 3.2× datasheet)</t>
  </si>
  <si>
    <t xml:space="preserve">Clamp ring + O-ring</t>
  </si>
  <si>
    <t xml:space="preserve">20 mm overlaps pressed by spin; seams 90° apart in 2 layers; floor gasket; dye test</t>
  </si>
  <si>
    <t xml:space="preserve">Detection</t>
  </si>
  <si>
    <t xml:space="preserve">Cellulose fibres or stain read as plastic</t>
  </si>
  <si>
    <t xml:space="preserve">False positives</t>
  </si>
  <si>
    <t xml:space="preserve">Nile red uptake by cellulose</t>
  </si>
  <si>
    <t xml:space="preserve">Blank sleeve per batch of sleeves; fibre-shape exclusion; reference counts</t>
  </si>
  <si>
    <t xml:space="preserve">6.2</t>
  </si>
  <si>
    <t xml:space="preserve">Spent sleeve</t>
  </si>
  <si>
    <t xml:space="preserve">Binned loose or rinsed</t>
  </si>
  <si>
    <t xml:space="preserve">Microplastics back to the environment</t>
  </si>
  <si>
    <t xml:space="preserve">No disposal route</t>
  </si>
  <si>
    <t xml:space="preserve">Sealed sleeve pouch in the box; return-to-lab route for the study</t>
  </si>
  <si>
    <t xml:space="preserve">10.1</t>
  </si>
  <si>
    <t xml:space="preserve">Light polymers</t>
  </si>
  <si>
    <t xml:space="preserve">PP / PE miss the paper or land unevenly</t>
  </si>
  <si>
    <t xml:space="preserve">Sample under-counts them</t>
  </si>
  <si>
    <t xml:space="preserve">Inward drift beats through-flow above ≈ 20 µm</t>
  </si>
  <si>
    <t xml:space="preserve">Slow stop; floor coupon counted; PP bead test</t>
  </si>
  <si>
    <t xml:space="preserve">1.2</t>
  </si>
  <si>
    <t xml:space="preserve">Speed control</t>
  </si>
  <si>
    <t xml:space="preserve">Speed drifts out of the band</t>
  </si>
  <si>
    <t xml:space="preserve">Low flow or uncertain capture</t>
  </si>
  <si>
    <t xml:space="preserve">Open-loop PWM, no feedback</t>
  </si>
  <si>
    <t xml:space="preserve">Hall-sensor closed loop on the ESP32; speed logged</t>
  </si>
  <si>
    <t xml:space="preserve">2.1</t>
  </si>
  <si>
    <t xml:space="preserve">Lip seal</t>
  </si>
  <si>
    <t xml:space="preserve">Leaks into the dry base</t>
  </si>
  <si>
    <t xml:space="preserve">Water on the motor and board</t>
  </si>
  <si>
    <t xml:space="preserve">Wear at speed, dry running</t>
  </si>
  <si>
    <t xml:space="preserve">Boss 14 mm above the floor; drip path out of the base; board on stand-offs</t>
  </si>
  <si>
    <t xml:space="preserve">3.5</t>
  </si>
  <si>
    <t xml:space="preserve">Wet sleeve</t>
  </si>
  <si>
    <t xml:space="preserve">Tears or creases at 55–150 g</t>
  </si>
  <si>
    <t xml:space="preserve">Bypass; fibres in the water</t>
  </si>
  <si>
    <t xml:space="preserve">Wet strength over Ø2 holes</t>
  </si>
  <si>
    <t xml:space="preserve">Mesh support</t>
  </si>
  <si>
    <t xml:space="preserve">Two layers; inspect on lift-out; 20-batch test 7</t>
  </si>
  <si>
    <t xml:space="preserve">Sleeve change</t>
  </si>
  <si>
    <t xml:space="preserve">Sample touched or dropped</t>
  </si>
  <si>
    <t xml:space="preserve">Contaminated sample, spilled catch</t>
  </si>
  <si>
    <t xml:space="preserve">Four-step removal, wet hands</t>
  </si>
  <si>
    <t xml:space="preserve">Three steps (vanes welded in); tweezer tabs; gloves; pouch</t>
  </si>
  <si>
    <t xml:space="preserve">10.2</t>
  </si>
  <si>
    <t xml:space="preserve">Speed profile</t>
  </si>
  <si>
    <t xml:space="preserve">Starts fast with a full basket</t>
  </si>
  <si>
    <t xml:space="preserve">Face velocity ≈ 20× at the start</t>
  </si>
  <si>
    <t xml:space="preserve">Firmware fault or wrong batch size</t>
  </si>
  <si>
    <t xml:space="preserve">— (new in v1.1)</t>
  </si>
  <si>
    <t xml:space="preserve">Start capped at 1,300 rpm until the flow pins see water; batch size fixed by the funnel</t>
  </si>
  <si>
    <t xml:space="preserve">yes</t>
  </si>
  <si>
    <t xml:space="preserve">Too few particles per field</t>
  </si>
  <si>
    <t xml:space="preserve">Count meaningless</t>
  </si>
  <si>
    <t xml:space="preserve">Sparse sample on a large sleeve</t>
  </si>
  <si>
    <t xml:space="preserve">Coupons after ≥ 20 L on one sleeve</t>
  </si>
  <si>
    <t xml:space="preserve">Silt</t>
  </si>
  <si>
    <t xml:space="preserve">Sleeve blinds early</t>
  </si>
  <si>
    <t xml:space="preserve">Flow under 15 L/h</t>
  </si>
  <si>
    <t xml:space="preserve">Borewell / turbid water</t>
  </si>
  <si>
    <t xml:space="preserve">Life 228 / 57 / 11 L; alert from drain time</t>
  </si>
  <si>
    <t xml:space="preserve">9.1</t>
  </si>
  <si>
    <t xml:space="preserve">Cellulose sleeve</t>
  </si>
  <si>
    <t xml:space="preserve">Sheds fibres into the water</t>
  </si>
  <si>
    <t xml:space="preserve">Particles in the output</t>
  </si>
  <si>
    <t xml:space="preserve">Paper rubbing on the mesh</t>
  </si>
  <si>
    <t xml:space="preserve">200 mL first flush to waste</t>
  </si>
  <si>
    <t xml:space="preserve">3.2</t>
  </si>
  <si>
    <t xml:space="preserve">Flow pins</t>
  </si>
  <si>
    <t xml:space="preserve">Pins foul with lime</t>
  </si>
  <si>
    <t xml:space="preserve">Wrong batch-end signal</t>
  </si>
  <si>
    <t xml:space="preserve">Scale on 316 pins</t>
  </si>
  <si>
    <t xml:space="preserve">Pins wiped at each sleeve change; timed fallback profile</t>
  </si>
  <si>
    <t xml:space="preserve">4.2</t>
  </si>
  <si>
    <t xml:space="preserve">Lid</t>
  </si>
  <si>
    <t xml:space="preserve">Opened while spinning</t>
  </si>
  <si>
    <t xml:space="preserve">Hand near a basket at 7.9 m/s</t>
  </si>
  <si>
    <t xml:space="preserve">Interlock bypassed</t>
  </si>
  <si>
    <t xml:space="preserve">Reed switch</t>
  </si>
  <si>
    <t xml:space="preserve">Solenoid lock until hall speed = 0</t>
  </si>
  <si>
    <t xml:space="preserve">safety</t>
  </si>
  <si>
    <t xml:space="preserve">Cost</t>
  </si>
  <si>
    <t xml:space="preserve">Price over ₹6,000</t>
  </si>
  <si>
    <t xml:space="preserve">Not affordable</t>
  </si>
  <si>
    <t xml:space="preserve">Steel parts, BLDC drive</t>
  </si>
  <si>
    <t xml:space="preserve">Rolled parts, printed base; production costing next</t>
  </si>
  <si>
    <t xml:space="preserve">11.1</t>
  </si>
  <si>
    <t xml:space="preserve">Vanes</t>
  </si>
  <si>
    <t xml:space="preserve">Water lags (&lt; 50 % of basket)</t>
  </si>
  <si>
    <t xml:space="preserve">Too few or short vanes</t>
  </si>
  <si>
    <t xml:space="preserve">4-vane insert</t>
  </si>
  <si>
    <t xml:space="preserve">Welded vanes; bench test 1; profile adapts to drain time</t>
  </si>
  <si>
    <t xml:space="preserve">Basket</t>
  </si>
  <si>
    <t xml:space="preserve">Unbalance from an uneven wet sleeve</t>
  </si>
  <si>
    <t xml:space="preserve">Vibration, noise</t>
  </si>
  <si>
    <t xml:space="preserve">Uneven cake or sleeve</t>
  </si>
  <si>
    <t xml:space="preserve">Pre-spin seats the sleeve; feet; 5 g → 10 N at 2,500 rpm checked</t>
  </si>
  <si>
    <t xml:space="preserve">8.1</t>
  </si>
  <si>
    <t xml:space="preserve">Motor / driver</t>
  </si>
  <si>
    <t xml:space="preserve">Stalls or overheats</t>
  </si>
  <si>
    <t xml:space="preserve">No flow</t>
  </si>
  <si>
    <t xml:space="preserve">Start torque, no current limit</t>
  </si>
  <si>
    <t xml:space="preserve">Soft start; driver current limit</t>
  </si>
  <si>
    <t xml:space="preserve">Bowl</t>
  </si>
  <si>
    <t xml:space="preserve">Spray over the rim</t>
  </si>
  <si>
    <t xml:space="preserve">Wet bench</t>
  </si>
  <si>
    <t xml:space="preserve">Water leaves the cage at ≈ 7 m/s</t>
  </si>
  <si>
    <t xml:space="preserve">Skirt</t>
  </si>
  <si>
    <t xml:space="preserve">Skirt kept; lid closes the rim</t>
  </si>
  <si>
    <t xml:space="preserve">Critical modes</t>
  </si>
  <si>
    <t xml:space="preserve">Sum of RN</t>
  </si>
  <si>
    <t xml:space="preserve">O, S, D 1–10 (Pahl &amp; Beitz §10.4). Draft ratings in blue on yellow: change them in the team session and RN and the counts update.</t>
  </si>
  <si>
    <t xml:space="preserve">ID</t>
  </si>
  <si>
    <t xml:space="preserve">Contradiction</t>
  </si>
  <si>
    <t xml:space="preserve">Improving parameter</t>
  </si>
  <si>
    <t xml:space="preserve">Worsening parameter</t>
  </si>
  <si>
    <t xml:space="preserve">Matrix principles</t>
  </si>
  <si>
    <t xml:space="preserve">Principle used</t>
  </si>
  <si>
    <t xml:space="preserve">Idea</t>
  </si>
  <si>
    <t xml:space="preserve">Verdict</t>
  </si>
  <si>
    <t xml:space="preserve">TC1</t>
  </si>
  <si>
    <t xml:space="preserve">Capture vs flow</t>
  </si>
  <si>
    <t xml:space="preserve">#30 Object-affected harmful factors</t>
  </si>
  <si>
    <t xml:space="preserve">#39 Productivity</t>
  </si>
  <si>
    <t xml:space="preserve">22, 35, 13, 24</t>
  </si>
  <si>
    <t xml:space="preserve">24 Intermediary</t>
  </si>
  <si>
    <t xml:space="preserve">a second sleeve layer catches what the first misses and covers its seams</t>
  </si>
  <si>
    <t xml:space="preserve">adopted</t>
  </si>
  <si>
    <t xml:space="preserve">10 Preliminary action</t>
  </si>
  <si>
    <t xml:space="preserve">flush a new sleeve with 200 mL to waste before use</t>
  </si>
  <si>
    <t xml:space="preserve">22 Blessing in disguise</t>
  </si>
  <si>
    <t xml:space="preserve">silt cake as an extra depth filter</t>
  </si>
  <si>
    <t xml:space="preserve">not relied on</t>
  </si>
  <si>
    <t xml:space="preserve">13 The other way round</t>
  </si>
  <si>
    <t xml:space="preserve">make particles bigger with a coagulant</t>
  </si>
  <si>
    <t xml:space="preserve">rejected: adds a chemical</t>
  </si>
  <si>
    <t xml:space="preserve">TC2</t>
  </si>
  <si>
    <t xml:space="preserve">Speed vs capture certainty</t>
  </si>
  <si>
    <t xml:space="preserve">#27 Reliability · #31 harmful side effects</t>
  </si>
  <si>
    <t xml:space="preserve">1, 35, 10, 38 · 35, 22, 18, 39</t>
  </si>
  <si>
    <t xml:space="preserve">35 Parameter changes</t>
  </si>
  <si>
    <t xml:space="preserve">speed profile: slow while the basket is full, faster as it drains, face velocity held at 5×</t>
  </si>
  <si>
    <t xml:space="preserve">300 rpm pre-spin seats the sleeve and the water before the ramp</t>
  </si>
  <si>
    <t xml:space="preserve">1 Segmentation</t>
  </si>
  <si>
    <t xml:space="preserve">split the batch into small doses</t>
  </si>
  <si>
    <t xml:space="preserve">rejected: pour already 10 s</t>
  </si>
  <si>
    <t xml:space="preserve">18 Mechanical vibration</t>
  </si>
  <si>
    <t xml:space="preserve">silicone feet isolate the residual unbalance</t>
  </si>
  <si>
    <t xml:space="preserve">kept</t>
  </si>
  <si>
    <t xml:space="preserve">TC3</t>
  </si>
  <si>
    <t xml:space="preserve">Water speed vs simplicity</t>
  </si>
  <si>
    <t xml:space="preserve">#9 Speed</t>
  </si>
  <si>
    <t xml:space="preserve">#33 Ease of operation · #36 Device complexity</t>
  </si>
  <si>
    <t xml:space="preserve">32, 28, 13, 12 · 10, 28, 4, 34</t>
  </si>
  <si>
    <t xml:space="preserve">vanes welded into the basket; the sleeve slides past their tips</t>
  </si>
  <si>
    <t xml:space="preserve">13 · 34</t>
  </si>
  <si>
    <t xml:space="preserve">pleats in the sleeve act as the vanes and are thrown away with it</t>
  </si>
  <si>
    <t xml:space="preserve">rejected by simulation</t>
  </si>
  <si>
    <t xml:space="preserve">28 Mechanics substitution</t>
  </si>
  <si>
    <t xml:space="preserve">tangential jet spins the water up</t>
  </si>
  <si>
    <t xml:space="preserve">rejected: pour energy too small</t>
  </si>
  <si>
    <t xml:space="preserve">32 Colour changes</t>
  </si>
  <si>
    <t xml:space="preserve">dye tracer shows how far the water lags</t>
  </si>
  <si>
    <t xml:space="preserve">bench test 1</t>
  </si>
  <si>
    <t xml:space="preserve">TC4</t>
  </si>
  <si>
    <t xml:space="preserve">Sample size vs sleeve life</t>
  </si>
  <si>
    <t xml:space="preserve">#26 Quantity of substance</t>
  </si>
  <si>
    <t xml:space="preserve">13, 29, 3, 27</t>
  </si>
  <si>
    <t xml:space="preserve">3 Local quality</t>
  </si>
  <si>
    <t xml:space="preserve">count three Ø12 mm coupons at marked places, not the whole sleeve</t>
  </si>
  <si>
    <t xml:space="preserve">27 Cheap short-living objects</t>
  </si>
  <si>
    <t xml:space="preserve">the sleeve is a consumable; track cost per litre</t>
  </si>
  <si>
    <t xml:space="preserve">costed, slide 16</t>
  </si>
  <si>
    <t xml:space="preserve">29 Pneumatics and hydraulics</t>
  </si>
  <si>
    <t xml:space="preserve">back-flush the sleeve to extend its life</t>
  </si>
  <si>
    <t xml:space="preserve">rejected: washes the sample off</t>
  </si>
  <si>
    <t xml:space="preserve">coarse pre-sock in the funnel for turbid water</t>
  </si>
  <si>
    <t xml:space="preserve">later</t>
  </si>
  <si>
    <t xml:space="preserve">TC5</t>
  </si>
  <si>
    <t xml:space="preserve">Filter area vs rotor mass</t>
  </si>
  <si>
    <t xml:space="preserve">#5 Area of moving object</t>
  </si>
  <si>
    <t xml:space="preserve">#1 Weight of moving object</t>
  </si>
  <si>
    <t xml:space="preserve">2, 17, 29, 4</t>
  </si>
  <si>
    <t xml:space="preserve">17 Another dimension</t>
  </si>
  <si>
    <t xml:space="preserve">pleated sleeve: 2.3× the area in the same basket</t>
  </si>
  <si>
    <t xml:space="preserve">2 Taking out</t>
  </si>
  <si>
    <t xml:space="preserve">keep the area, raise the head instead (speed profile)</t>
  </si>
  <si>
    <t xml:space="preserve">adopted via TC2</t>
  </si>
  <si>
    <t xml:space="preserve">TC6</t>
  </si>
  <si>
    <t xml:space="preserve">Plastic-free wet path vs complexity</t>
  </si>
  <si>
    <t xml:space="preserve">#31 Object-generated harmful factors</t>
  </si>
  <si>
    <t xml:space="preserve">#36 Device complexity</t>
  </si>
  <si>
    <t xml:space="preserve">19, 1, 31</t>
  </si>
  <si>
    <t xml:space="preserve">bowl rolled from sheet with a welded floor, not deep-drawn</t>
  </si>
  <si>
    <t xml:space="preserve">adopted for the prototype</t>
  </si>
  <si>
    <t xml:space="preserve">31 Porous materials</t>
  </si>
  <si>
    <t xml:space="preserve">perforated cage + woven mesh stay steel</t>
  </si>
  <si>
    <t xml:space="preserve">Physical contradiction</t>
  </si>
  <si>
    <t xml:space="preserve">Separation</t>
  </si>
  <si>
    <t xml:space="preserve">Resolution in v1.1</t>
  </si>
  <si>
    <t xml:space="preserve">PC1</t>
  </si>
  <si>
    <t xml:space="preserve">Pores must be small (catch 1 µm) and large (pass 15 L/h)</t>
  </si>
  <si>
    <t xml:space="preserve">Space</t>
  </si>
  <si>
    <t xml:space="preserve">two layers in series: each stays as open as 602 h, together they catch 98.9 % at 1–2 µm</t>
  </si>
  <si>
    <t xml:space="preserve">PC2</t>
  </si>
  <si>
    <t xml:space="preserve">The basket must spin fast (flow) and slowly (paper rating, noise)</t>
  </si>
  <si>
    <t xml:space="preserve">Time</t>
  </si>
  <si>
    <t xml:space="preserve">speed profile: about 1,250 rpm when full, rising to 2,500 rpm as the water thins</t>
  </si>
  <si>
    <t xml:space="preserve">PC3</t>
  </si>
  <si>
    <t xml:space="preserve">Particles must reach the paper and float inward (PP, PE &gt; 20 µm)</t>
  </si>
  <si>
    <t xml:space="preserve">Condition</t>
  </si>
  <si>
    <t xml:space="preserve">slow, steady stop lets the floating layer settle onto the sleeve; count a floor coupon too</t>
  </si>
  <si>
    <t xml:space="preserve">PC4</t>
  </si>
  <si>
    <t xml:space="preserve">The sleeve must be sealed and removable</t>
  </si>
  <si>
    <t xml:space="preserve">Time + self-service (25)</t>
  </si>
  <si>
    <t xml:space="preserve">spin pressure presses the 20 mm overlaps shut; floor gasket and clamp ring seal the ends; lifts out when stopped</t>
  </si>
  <si>
    <t xml:space="preserve">Matrix cells from the TRIZ40 contradiction matrix (triz40.com/aff_Matrix_TRIZ.php), checked cell by cell.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</si>
</sst>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0"/>
    <numFmt numFmtId="167" formatCode="#,##0"/>
    <numFmt numFmtId="168" formatCode="0%"/>
    <numFmt numFmtId="169" formatCode="#,##0.00"/>
    <numFmt numFmtId="170" formatCode="0.0"/>
    <numFmt numFmtId="171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6.8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3" t="n">
        <v>1</v>
      </c>
      <c r="F2" s="4" t="n">
        <v>2500</v>
      </c>
      <c r="G2" s="5" t="n">
        <f aca="false">E2*F2</f>
        <v>2500</v>
      </c>
      <c r="H2" s="2" t="s">
        <v>12</v>
      </c>
      <c r="I2" s="2" t="s">
        <v>13</v>
      </c>
    </row>
    <row r="3" customFormat="false" ht="26.8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16</v>
      </c>
      <c r="E3" s="3" t="n">
        <v>1</v>
      </c>
      <c r="F3" s="4" t="n">
        <v>420</v>
      </c>
      <c r="G3" s="5" t="n">
        <f aca="false">E3*F3</f>
        <v>420</v>
      </c>
      <c r="H3" s="2" t="s">
        <v>17</v>
      </c>
      <c r="I3" s="2" t="s">
        <v>18</v>
      </c>
    </row>
    <row r="4" customFormat="false" ht="39.55" hidden="false" customHeight="false" outlineLevel="0" collapsed="false">
      <c r="A4" s="2" t="n">
        <v>3</v>
      </c>
      <c r="B4" s="2" t="s">
        <v>19</v>
      </c>
      <c r="C4" s="2" t="s">
        <v>20</v>
      </c>
      <c r="D4" s="2" t="s">
        <v>11</v>
      </c>
      <c r="E4" s="3" t="n">
        <v>1</v>
      </c>
      <c r="F4" s="4" t="n">
        <v>3000</v>
      </c>
      <c r="G4" s="5" t="n">
        <f aca="false">E4*F4</f>
        <v>3000</v>
      </c>
      <c r="H4" s="2" t="s">
        <v>12</v>
      </c>
      <c r="I4" s="2" t="s">
        <v>21</v>
      </c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23</v>
      </c>
      <c r="D5" s="2" t="s">
        <v>11</v>
      </c>
      <c r="E5" s="3" t="n">
        <v>1</v>
      </c>
      <c r="F5" s="4" t="n">
        <v>900</v>
      </c>
      <c r="G5" s="5" t="n">
        <f aca="false">E5*F5</f>
        <v>900</v>
      </c>
      <c r="H5" s="2" t="s">
        <v>24</v>
      </c>
      <c r="I5" s="2" t="s">
        <v>25</v>
      </c>
    </row>
    <row r="6" customFormat="false" ht="15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16</v>
      </c>
      <c r="E6" s="3" t="n">
        <v>1</v>
      </c>
      <c r="F6" s="4" t="n">
        <v>60</v>
      </c>
      <c r="G6" s="5" t="n">
        <f aca="false">E6*F6</f>
        <v>60</v>
      </c>
      <c r="H6" s="2" t="s">
        <v>28</v>
      </c>
      <c r="I6" s="2" t="s">
        <v>29</v>
      </c>
    </row>
    <row r="7" customFormat="false" ht="26.85" hidden="false" customHeight="false" outlineLevel="0" collapsed="false">
      <c r="A7" s="2" t="n">
        <v>6</v>
      </c>
      <c r="B7" s="2" t="s">
        <v>30</v>
      </c>
      <c r="C7" s="2" t="s">
        <v>31</v>
      </c>
      <c r="D7" s="2" t="s">
        <v>16</v>
      </c>
      <c r="E7" s="3" t="n">
        <v>1</v>
      </c>
      <c r="F7" s="5" t="n">
        <f aca="false">Assumptions!B4*Assumptions!B2*(1+Assumptions!B3)/100*Assumptions!B5</f>
        <v>543.44576</v>
      </c>
      <c r="G7" s="5" t="n">
        <f aca="false">E7*F7</f>
        <v>543.44576</v>
      </c>
      <c r="H7" s="2" t="s">
        <v>32</v>
      </c>
      <c r="I7" s="2" t="s">
        <v>33</v>
      </c>
    </row>
    <row r="8" customFormat="false" ht="26.85" hidden="false" customHeight="false" outlineLevel="0" collapsed="false">
      <c r="A8" s="2" t="n">
        <v>7</v>
      </c>
      <c r="B8" s="2" t="s">
        <v>34</v>
      </c>
      <c r="C8" s="2" t="s">
        <v>35</v>
      </c>
      <c r="D8" s="2" t="s">
        <v>16</v>
      </c>
      <c r="E8" s="3" t="n">
        <v>1</v>
      </c>
      <c r="F8" s="4" t="n">
        <v>1000</v>
      </c>
      <c r="G8" s="5" t="n">
        <f aca="false">E8*F8</f>
        <v>1000</v>
      </c>
      <c r="H8" s="2" t="s">
        <v>36</v>
      </c>
      <c r="I8" s="2" t="s">
        <v>37</v>
      </c>
    </row>
    <row r="9" customFormat="false" ht="39.55" hidden="false" customHeight="false" outlineLevel="0" collapsed="false">
      <c r="A9" s="2" t="n">
        <v>8</v>
      </c>
      <c r="B9" s="2" t="s">
        <v>38</v>
      </c>
      <c r="C9" s="2" t="s">
        <v>39</v>
      </c>
      <c r="D9" s="2" t="s">
        <v>11</v>
      </c>
      <c r="E9" s="3" t="n">
        <v>1</v>
      </c>
      <c r="F9" s="4" t="n">
        <v>4200</v>
      </c>
      <c r="G9" s="5" t="n">
        <f aca="false">E9*F9</f>
        <v>4200</v>
      </c>
      <c r="H9" s="2" t="s">
        <v>40</v>
      </c>
      <c r="I9" s="2" t="s">
        <v>41</v>
      </c>
    </row>
    <row r="10" customFormat="false" ht="26.85" hidden="false" customHeight="false" outlineLevel="0" collapsed="false">
      <c r="A10" s="2" t="n">
        <v>9</v>
      </c>
      <c r="B10" s="2" t="s">
        <v>42</v>
      </c>
      <c r="C10" s="2" t="s">
        <v>43</v>
      </c>
      <c r="D10" s="2" t="s">
        <v>16</v>
      </c>
      <c r="E10" s="3" t="n">
        <v>1</v>
      </c>
      <c r="F10" s="4" t="n">
        <v>350</v>
      </c>
      <c r="G10" s="5" t="n">
        <f aca="false">E10*F10</f>
        <v>350</v>
      </c>
      <c r="H10" s="2" t="s">
        <v>44</v>
      </c>
      <c r="I10" s="2" t="s">
        <v>45</v>
      </c>
    </row>
    <row r="11" customFormat="false" ht="26.85" hidden="false" customHeight="false" outlineLevel="0" collapsed="false">
      <c r="A11" s="2" t="n">
        <v>10</v>
      </c>
      <c r="B11" s="2" t="s">
        <v>46</v>
      </c>
      <c r="C11" s="2" t="s">
        <v>47</v>
      </c>
      <c r="D11" s="2" t="s">
        <v>11</v>
      </c>
      <c r="E11" s="3" t="n">
        <v>1</v>
      </c>
      <c r="F11" s="4" t="n">
        <v>700</v>
      </c>
      <c r="G11" s="5" t="n">
        <f aca="false">E11*F11</f>
        <v>700</v>
      </c>
      <c r="H11" s="2" t="s">
        <v>48</v>
      </c>
      <c r="I11" s="2" t="s">
        <v>25</v>
      </c>
    </row>
    <row r="12" customFormat="false" ht="15" hidden="false" customHeight="false" outlineLevel="0" collapsed="false">
      <c r="A12" s="2" t="n">
        <v>11</v>
      </c>
      <c r="B12" s="2" t="s">
        <v>49</v>
      </c>
      <c r="C12" s="2" t="s">
        <v>50</v>
      </c>
      <c r="D12" s="2" t="s">
        <v>16</v>
      </c>
      <c r="E12" s="3" t="n">
        <v>1</v>
      </c>
      <c r="F12" s="4" t="n">
        <v>250</v>
      </c>
      <c r="G12" s="5" t="n">
        <f aca="false">E12*F12</f>
        <v>250</v>
      </c>
      <c r="H12" s="2" t="s">
        <v>44</v>
      </c>
      <c r="I12" s="2" t="s">
        <v>51</v>
      </c>
    </row>
    <row r="13" customFormat="false" ht="26.85" hidden="false" customHeight="false" outlineLevel="0" collapsed="false">
      <c r="A13" s="2" t="n">
        <v>12</v>
      </c>
      <c r="B13" s="2" t="s">
        <v>52</v>
      </c>
      <c r="C13" s="2" t="s">
        <v>53</v>
      </c>
      <c r="D13" s="2" t="s">
        <v>11</v>
      </c>
      <c r="E13" s="3" t="n">
        <v>1</v>
      </c>
      <c r="F13" s="4" t="n">
        <v>1500</v>
      </c>
      <c r="G13" s="5" t="n">
        <f aca="false">E13*F13</f>
        <v>1500</v>
      </c>
      <c r="H13" s="2" t="s">
        <v>54</v>
      </c>
      <c r="I13" s="2" t="s">
        <v>55</v>
      </c>
    </row>
    <row r="14" customFormat="false" ht="15" hidden="false" customHeight="false" outlineLevel="0" collapsed="false">
      <c r="A14" s="2" t="n">
        <v>13</v>
      </c>
      <c r="B14" s="2" t="s">
        <v>56</v>
      </c>
      <c r="C14" s="2" t="s">
        <v>57</v>
      </c>
      <c r="D14" s="2" t="s">
        <v>16</v>
      </c>
      <c r="E14" s="3" t="n">
        <v>1</v>
      </c>
      <c r="F14" s="4" t="n">
        <v>120</v>
      </c>
      <c r="G14" s="5" t="n">
        <f aca="false">E14*F14</f>
        <v>120</v>
      </c>
      <c r="H14" s="2" t="s">
        <v>44</v>
      </c>
      <c r="I14" s="2" t="s">
        <v>58</v>
      </c>
    </row>
    <row r="15" customFormat="false" ht="26.85" hidden="false" customHeight="false" outlineLevel="0" collapsed="false">
      <c r="A15" s="2" t="n">
        <v>14</v>
      </c>
      <c r="B15" s="2" t="s">
        <v>59</v>
      </c>
      <c r="C15" s="2" t="s">
        <v>60</v>
      </c>
      <c r="D15" s="2" t="s">
        <v>16</v>
      </c>
      <c r="E15" s="3" t="n">
        <v>1</v>
      </c>
      <c r="F15" s="4" t="n">
        <v>2080</v>
      </c>
      <c r="G15" s="5" t="n">
        <f aca="false">E15*F15</f>
        <v>2080</v>
      </c>
      <c r="H15" s="2" t="s">
        <v>61</v>
      </c>
      <c r="I15" s="2" t="s">
        <v>62</v>
      </c>
    </row>
    <row r="16" customFormat="false" ht="39.55" hidden="false" customHeight="false" outlineLevel="0" collapsed="false">
      <c r="A16" s="2" t="n">
        <v>15</v>
      </c>
      <c r="B16" s="2" t="s">
        <v>63</v>
      </c>
      <c r="C16" s="2" t="s">
        <v>64</v>
      </c>
      <c r="D16" s="2" t="s">
        <v>16</v>
      </c>
      <c r="E16" s="3" t="n">
        <v>1</v>
      </c>
      <c r="F16" s="4" t="n">
        <v>2104</v>
      </c>
      <c r="G16" s="5" t="n">
        <f aca="false">E16*F16</f>
        <v>2104</v>
      </c>
      <c r="H16" s="2" t="s">
        <v>65</v>
      </c>
      <c r="I16" s="2" t="s">
        <v>66</v>
      </c>
    </row>
    <row r="17" customFormat="false" ht="26.85" hidden="false" customHeight="false" outlineLevel="0" collapsed="false">
      <c r="A17" s="2" t="n">
        <v>16</v>
      </c>
      <c r="B17" s="2" t="s">
        <v>67</v>
      </c>
      <c r="C17" s="2" t="s">
        <v>68</v>
      </c>
      <c r="D17" s="2" t="s">
        <v>16</v>
      </c>
      <c r="E17" s="3" t="n">
        <v>1</v>
      </c>
      <c r="F17" s="4" t="n">
        <v>807</v>
      </c>
      <c r="G17" s="5" t="n">
        <f aca="false">E17*F17</f>
        <v>807</v>
      </c>
      <c r="H17" s="2" t="s">
        <v>69</v>
      </c>
      <c r="I17" s="2" t="s">
        <v>70</v>
      </c>
    </row>
    <row r="18" customFormat="false" ht="15" hidden="false" customHeight="false" outlineLevel="0" collapsed="false">
      <c r="A18" s="2" t="n">
        <v>17</v>
      </c>
      <c r="B18" s="2" t="s">
        <v>71</v>
      </c>
      <c r="C18" s="2" t="s">
        <v>72</v>
      </c>
      <c r="D18" s="2" t="s">
        <v>16</v>
      </c>
      <c r="E18" s="3" t="n">
        <v>1</v>
      </c>
      <c r="F18" s="4" t="n">
        <v>300</v>
      </c>
      <c r="G18" s="5" t="n">
        <f aca="false">E18*F18</f>
        <v>300</v>
      </c>
      <c r="H18" s="2" t="s">
        <v>44</v>
      </c>
      <c r="I18" s="2" t="s">
        <v>73</v>
      </c>
    </row>
    <row r="19" customFormat="false" ht="15" hidden="false" customHeight="false" outlineLevel="0" collapsed="false">
      <c r="A19" s="2" t="n">
        <v>18</v>
      </c>
      <c r="B19" s="2" t="s">
        <v>74</v>
      </c>
      <c r="C19" s="2" t="s">
        <v>75</v>
      </c>
      <c r="D19" s="2" t="s">
        <v>16</v>
      </c>
      <c r="E19" s="3" t="n">
        <v>1</v>
      </c>
      <c r="F19" s="4" t="n">
        <v>1500</v>
      </c>
      <c r="G19" s="5" t="n">
        <f aca="false">E19*F19</f>
        <v>1500</v>
      </c>
      <c r="H19" s="2" t="s">
        <v>76</v>
      </c>
      <c r="I19" s="2" t="s">
        <v>77</v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6"/>
      <c r="B21" s="7" t="s">
        <v>78</v>
      </c>
      <c r="C21" s="6"/>
      <c r="D21" s="6"/>
      <c r="E21" s="6"/>
      <c r="F21" s="6"/>
      <c r="G21" s="8" t="n">
        <f aca="false">SUM(G2:G19)</f>
        <v>22334.44576</v>
      </c>
      <c r="H21" s="6"/>
      <c r="I21" s="6"/>
    </row>
    <row r="22" customFormat="false" ht="15" hidden="false" customHeight="false" outlineLevel="0" collapsed="false">
      <c r="A22" s="6"/>
      <c r="B22" s="7" t="s">
        <v>79</v>
      </c>
      <c r="C22" s="6"/>
      <c r="D22" s="6"/>
      <c r="E22" s="6"/>
      <c r="F22" s="6"/>
      <c r="G22" s="9" t="n">
        <f aca="false">Assumptions!B6</f>
        <v>2</v>
      </c>
      <c r="H22" s="6"/>
      <c r="I22" s="6"/>
    </row>
    <row r="23" customFormat="false" ht="26.85" hidden="false" customHeight="false" outlineLevel="0" collapsed="false">
      <c r="A23" s="6"/>
      <c r="B23" s="7" t="s">
        <v>80</v>
      </c>
      <c r="C23" s="6"/>
      <c r="D23" s="6"/>
      <c r="E23" s="6"/>
      <c r="F23" s="6"/>
      <c r="G23" s="8" t="n">
        <f aca="false">G21*G22</f>
        <v>44668.89152</v>
      </c>
      <c r="H23" s="6"/>
      <c r="I23" s="6"/>
    </row>
    <row r="24" customFormat="false" ht="26.85" hidden="false" customHeight="false" outlineLevel="0" collapsed="false">
      <c r="A24" s="6"/>
      <c r="B24" s="7" t="s">
        <v>81</v>
      </c>
      <c r="C24" s="6"/>
      <c r="D24" s="6"/>
      <c r="E24" s="6"/>
      <c r="F24" s="6"/>
      <c r="G24" s="10" t="n">
        <f aca="false">Assumptions!B4*Assumptions!B2*(1+Assumptions!B3)</f>
        <v>13586.144</v>
      </c>
      <c r="H24" s="6"/>
      <c r="I24" s="6"/>
    </row>
    <row r="25" customFormat="false" ht="15" hidden="false" customHeight="false" outlineLevel="0" collapsed="false">
      <c r="A25" s="6"/>
      <c r="B25" s="7" t="s">
        <v>82</v>
      </c>
      <c r="C25" s="6"/>
      <c r="D25" s="6"/>
      <c r="E25" s="6"/>
      <c r="F25" s="6"/>
      <c r="G25" s="8" t="n">
        <f aca="false">G23+G24</f>
        <v>58255.03552</v>
      </c>
      <c r="H25" s="6"/>
      <c r="I25" s="6"/>
    </row>
    <row r="26" customFormat="false" ht="15" hidden="false" customHeight="false" outlineLevel="0" collapsed="false">
      <c r="A26" s="6"/>
      <c r="B26" s="7" t="s">
        <v>83</v>
      </c>
      <c r="C26" s="6"/>
      <c r="D26" s="6"/>
      <c r="E26" s="6"/>
      <c r="F26" s="6"/>
      <c r="G26" s="10" t="n">
        <f aca="false">Assumptions!B7</f>
        <v>50000</v>
      </c>
      <c r="H26" s="6"/>
      <c r="I26" s="6"/>
    </row>
    <row r="27" customFormat="false" ht="15" hidden="false" customHeight="false" outlineLevel="0" collapsed="false">
      <c r="A27" s="6"/>
      <c r="B27" s="7" t="s">
        <v>84</v>
      </c>
      <c r="C27" s="6"/>
      <c r="D27" s="6"/>
      <c r="E27" s="6"/>
      <c r="F27" s="6"/>
      <c r="G27" s="11" t="str">
        <f aca="false">IF(G25&lt;=G26,"yes","no")</f>
        <v>no</v>
      </c>
      <c r="H27" s="6"/>
      <c r="I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6"/>
      <c r="B29" s="12" t="s">
        <v>85</v>
      </c>
      <c r="C29" s="6"/>
      <c r="D29" s="6"/>
      <c r="E29" s="6"/>
      <c r="F29" s="6"/>
      <c r="G29" s="6"/>
      <c r="H29" s="6"/>
      <c r="I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11"/>
    <col collapsed="false" customWidth="true" hidden="false" outlineLevel="0" max="7" min="7" style="0" width="32"/>
    <col collapsed="false" customWidth="true" hidden="false" outlineLevel="0" max="8" min="8" style="0" width="4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customFormat="false" ht="39.55" hidden="false" customHeight="false" outlineLevel="0" collapsed="false">
      <c r="A2" s="2" t="n">
        <v>1</v>
      </c>
      <c r="B2" s="2" t="s">
        <v>9</v>
      </c>
      <c r="C2" s="2" t="s">
        <v>92</v>
      </c>
      <c r="D2" s="2" t="s">
        <v>93</v>
      </c>
      <c r="E2" s="2" t="s">
        <v>94</v>
      </c>
      <c r="F2" s="13" t="n">
        <v>474.6</v>
      </c>
      <c r="G2" s="2" t="s">
        <v>95</v>
      </c>
      <c r="H2" s="2" t="s">
        <v>96</v>
      </c>
    </row>
    <row r="3" customFormat="false" ht="26.85" hidden="false" customHeight="false" outlineLevel="0" collapsed="false">
      <c r="A3" s="2" t="n">
        <v>2</v>
      </c>
      <c r="B3" s="2" t="s">
        <v>14</v>
      </c>
      <c r="C3" s="2" t="s">
        <v>97</v>
      </c>
      <c r="D3" s="2" t="s">
        <v>98</v>
      </c>
      <c r="E3" s="2" t="s">
        <v>99</v>
      </c>
      <c r="F3" s="13" t="n">
        <v>25</v>
      </c>
      <c r="G3" s="2" t="s">
        <v>100</v>
      </c>
      <c r="H3" s="2" t="s">
        <v>101</v>
      </c>
    </row>
    <row r="4" customFormat="false" ht="39.55" hidden="false" customHeight="false" outlineLevel="0" collapsed="false">
      <c r="A4" s="2" t="n">
        <v>3</v>
      </c>
      <c r="B4" s="2" t="s">
        <v>19</v>
      </c>
      <c r="C4" s="2" t="s">
        <v>102</v>
      </c>
      <c r="D4" s="2" t="s">
        <v>103</v>
      </c>
      <c r="E4" s="2" t="s">
        <v>104</v>
      </c>
      <c r="F4" s="13" t="n">
        <v>1310.6</v>
      </c>
      <c r="G4" s="2" t="s">
        <v>105</v>
      </c>
      <c r="H4" s="2" t="s">
        <v>106</v>
      </c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107</v>
      </c>
      <c r="D5" s="2" t="s">
        <v>108</v>
      </c>
      <c r="E5" s="2" t="s">
        <v>109</v>
      </c>
      <c r="F5" s="13" t="n">
        <v>39.3</v>
      </c>
      <c r="G5" s="2" t="s">
        <v>110</v>
      </c>
      <c r="H5" s="2" t="s">
        <v>111</v>
      </c>
    </row>
    <row r="6" customFormat="false" ht="26.85" hidden="false" customHeight="false" outlineLevel="0" collapsed="false">
      <c r="A6" s="2" t="n">
        <v>5</v>
      </c>
      <c r="B6" s="2" t="s">
        <v>26</v>
      </c>
      <c r="C6" s="2" t="s">
        <v>112</v>
      </c>
      <c r="D6" s="2" t="s">
        <v>113</v>
      </c>
      <c r="E6" s="2" t="s">
        <v>16</v>
      </c>
      <c r="F6" s="13" t="n">
        <v>0.4</v>
      </c>
      <c r="G6" s="2" t="s">
        <v>114</v>
      </c>
      <c r="H6" s="2" t="s">
        <v>111</v>
      </c>
    </row>
    <row r="7" customFormat="false" ht="39.55" hidden="false" customHeight="false" outlineLevel="0" collapsed="false">
      <c r="A7" s="2" t="n">
        <v>6</v>
      </c>
      <c r="B7" s="2" t="s">
        <v>115</v>
      </c>
      <c r="C7" s="2" t="s">
        <v>116</v>
      </c>
      <c r="D7" s="2" t="s">
        <v>117</v>
      </c>
      <c r="E7" s="2" t="s">
        <v>118</v>
      </c>
      <c r="F7" s="13" t="n">
        <v>6</v>
      </c>
      <c r="G7" s="2" t="s">
        <v>119</v>
      </c>
      <c r="H7" s="2" t="s">
        <v>120</v>
      </c>
    </row>
    <row r="8" customFormat="false" ht="15" hidden="false" customHeight="false" outlineLevel="0" collapsed="false">
      <c r="A8" s="2" t="n">
        <v>7</v>
      </c>
      <c r="B8" s="2" t="s">
        <v>34</v>
      </c>
      <c r="C8" s="2" t="s">
        <v>121</v>
      </c>
      <c r="D8" s="2" t="s">
        <v>122</v>
      </c>
      <c r="E8" s="2" t="s">
        <v>123</v>
      </c>
      <c r="F8" s="13" t="n">
        <v>9.1</v>
      </c>
      <c r="G8" s="2" t="s">
        <v>124</v>
      </c>
      <c r="H8" s="2" t="s">
        <v>111</v>
      </c>
    </row>
    <row r="9" customFormat="false" ht="39.55" hidden="false" customHeight="false" outlineLevel="0" collapsed="false">
      <c r="A9" s="2" t="n">
        <v>8</v>
      </c>
      <c r="B9" s="2" t="s">
        <v>38</v>
      </c>
      <c r="C9" s="2" t="s">
        <v>125</v>
      </c>
      <c r="D9" s="2" t="s">
        <v>126</v>
      </c>
      <c r="E9" s="2" t="s">
        <v>127</v>
      </c>
      <c r="F9" s="13" t="n">
        <v>245.2</v>
      </c>
      <c r="G9" s="2" t="s">
        <v>128</v>
      </c>
      <c r="H9" s="2" t="s">
        <v>129</v>
      </c>
    </row>
    <row r="10" customFormat="false" ht="26.85" hidden="false" customHeight="false" outlineLevel="0" collapsed="false">
      <c r="A10" s="2" t="n">
        <v>9</v>
      </c>
      <c r="B10" s="2" t="s">
        <v>42</v>
      </c>
      <c r="C10" s="2" t="s">
        <v>130</v>
      </c>
      <c r="D10" s="2" t="s">
        <v>131</v>
      </c>
      <c r="E10" s="2" t="s">
        <v>132</v>
      </c>
      <c r="F10" s="13" t="n">
        <v>0.6</v>
      </c>
      <c r="G10" s="2" t="s">
        <v>133</v>
      </c>
      <c r="H10" s="2" t="s">
        <v>134</v>
      </c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135</v>
      </c>
      <c r="D11" s="2" t="s">
        <v>108</v>
      </c>
      <c r="E11" s="2" t="s">
        <v>136</v>
      </c>
      <c r="F11" s="13" t="n">
        <v>11.2</v>
      </c>
      <c r="G11" s="2" t="s">
        <v>137</v>
      </c>
      <c r="H11" s="2" t="s">
        <v>111</v>
      </c>
    </row>
    <row r="12" customFormat="false" ht="26.85" hidden="false" customHeight="false" outlineLevel="0" collapsed="false">
      <c r="A12" s="2" t="n">
        <v>11</v>
      </c>
      <c r="B12" s="2" t="s">
        <v>49</v>
      </c>
      <c r="C12" s="2" t="s">
        <v>138</v>
      </c>
      <c r="D12" s="2" t="s">
        <v>139</v>
      </c>
      <c r="E12" s="2" t="s">
        <v>16</v>
      </c>
      <c r="F12" s="13" t="n">
        <v>0.6</v>
      </c>
      <c r="G12" s="2" t="s">
        <v>140</v>
      </c>
      <c r="H12" s="2" t="s">
        <v>141</v>
      </c>
    </row>
    <row r="13" customFormat="false" ht="26.85" hidden="false" customHeight="false" outlineLevel="0" collapsed="false">
      <c r="A13" s="2" t="n">
        <v>12</v>
      </c>
      <c r="B13" s="2" t="s">
        <v>52</v>
      </c>
      <c r="C13" s="2" t="s">
        <v>142</v>
      </c>
      <c r="D13" s="2" t="s">
        <v>143</v>
      </c>
      <c r="E13" s="2" t="s">
        <v>144</v>
      </c>
      <c r="F13" s="13" t="n">
        <v>205.5</v>
      </c>
      <c r="G13" s="2" t="s">
        <v>145</v>
      </c>
      <c r="H13" s="2" t="s">
        <v>111</v>
      </c>
    </row>
    <row r="14" customFormat="false" ht="15" hidden="false" customHeight="false" outlineLevel="0" collapsed="false">
      <c r="A14" s="2" t="n">
        <v>13</v>
      </c>
      <c r="B14" s="2" t="s">
        <v>56</v>
      </c>
      <c r="C14" s="2" t="s">
        <v>146</v>
      </c>
      <c r="D14" s="2" t="s">
        <v>147</v>
      </c>
      <c r="E14" s="2" t="s">
        <v>16</v>
      </c>
      <c r="F14" s="13" t="n">
        <v>3</v>
      </c>
      <c r="G14" s="2" t="s">
        <v>148</v>
      </c>
      <c r="H14" s="2" t="s">
        <v>111</v>
      </c>
    </row>
    <row r="15" customFormat="false" ht="26.85" hidden="false" customHeight="false" outlineLevel="0" collapsed="false">
      <c r="A15" s="2" t="n">
        <v>14</v>
      </c>
      <c r="B15" s="2" t="s">
        <v>59</v>
      </c>
      <c r="C15" s="2" t="s">
        <v>149</v>
      </c>
      <c r="D15" s="2" t="s">
        <v>150</v>
      </c>
      <c r="E15" s="2" t="s">
        <v>16</v>
      </c>
      <c r="F15" s="13" t="n">
        <v>430</v>
      </c>
      <c r="G15" s="2" t="s">
        <v>151</v>
      </c>
      <c r="H15" s="2" t="s">
        <v>152</v>
      </c>
    </row>
    <row r="16" customFormat="false" ht="26.85" hidden="false" customHeight="false" outlineLevel="0" collapsed="false">
      <c r="A16" s="2" t="n">
        <v>15</v>
      </c>
      <c r="B16" s="2" t="s">
        <v>153</v>
      </c>
      <c r="C16" s="2" t="s">
        <v>154</v>
      </c>
      <c r="D16" s="2" t="s">
        <v>155</v>
      </c>
      <c r="E16" s="2" t="s">
        <v>156</v>
      </c>
      <c r="F16" s="13" t="n">
        <v>75</v>
      </c>
      <c r="G16" s="2" t="s">
        <v>157</v>
      </c>
      <c r="H16" s="2" t="s">
        <v>158</v>
      </c>
    </row>
    <row r="17" customFormat="false" ht="15" hidden="false" customHeight="false" outlineLevel="0" collapsed="false">
      <c r="A17" s="2" t="n">
        <v>16</v>
      </c>
      <c r="B17" s="2" t="s">
        <v>67</v>
      </c>
      <c r="C17" s="2" t="s">
        <v>159</v>
      </c>
      <c r="D17" s="2" t="s">
        <v>160</v>
      </c>
      <c r="E17" s="2" t="s">
        <v>16</v>
      </c>
      <c r="F17" s="13" t="n">
        <v>0</v>
      </c>
      <c r="G17" s="2" t="s">
        <v>161</v>
      </c>
      <c r="H17" s="2" t="s">
        <v>162</v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7" t="s">
        <v>163</v>
      </c>
      <c r="C19" s="6"/>
      <c r="D19" s="6"/>
      <c r="E19" s="6"/>
      <c r="F19" s="14" t="n">
        <f aca="false">SUM(F2:F17)</f>
        <v>2836.1</v>
      </c>
      <c r="G19" s="6"/>
      <c r="H19" s="6"/>
    </row>
    <row r="20" customFormat="false" ht="26.85" hidden="false" customHeight="false" outlineLevel="0" collapsed="false">
      <c r="A20" s="6"/>
      <c r="B20" s="7" t="s">
        <v>164</v>
      </c>
      <c r="C20" s="6"/>
      <c r="D20" s="6"/>
      <c r="E20" s="6"/>
      <c r="F20" s="14" t="n">
        <f aca="false">SUM(F5:F11)</f>
        <v>311.8</v>
      </c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12" t="s">
        <v>165</v>
      </c>
      <c r="C22" s="6"/>
      <c r="D22" s="6"/>
      <c r="E22" s="6"/>
      <c r="F22" s="6"/>
      <c r="G22" s="6"/>
      <c r="H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1" t="s">
        <v>166</v>
      </c>
      <c r="B1" s="1" t="s">
        <v>167</v>
      </c>
      <c r="C1" s="1" t="s">
        <v>168</v>
      </c>
      <c r="D1" s="1" t="s">
        <v>169</v>
      </c>
    </row>
    <row r="2" customFormat="false" ht="15" hidden="false" customHeight="false" outlineLevel="0" collapsed="false">
      <c r="A2" s="2" t="s">
        <v>170</v>
      </c>
      <c r="B2" s="15" t="n">
        <v>88</v>
      </c>
      <c r="C2" s="2" t="s">
        <v>171</v>
      </c>
      <c r="D2" s="2" t="s">
        <v>172</v>
      </c>
    </row>
    <row r="3" customFormat="false" ht="26.85" hidden="false" customHeight="false" outlineLevel="0" collapsed="false">
      <c r="A3" s="2" t="s">
        <v>173</v>
      </c>
      <c r="B3" s="16" t="n">
        <v>0.3</v>
      </c>
      <c r="C3" s="2" t="s">
        <v>174</v>
      </c>
      <c r="D3" s="2" t="s">
        <v>175</v>
      </c>
    </row>
    <row r="4" customFormat="false" ht="15" hidden="false" customHeight="false" outlineLevel="0" collapsed="false">
      <c r="A4" s="2" t="s">
        <v>176</v>
      </c>
      <c r="B4" s="17" t="n">
        <v>118.76</v>
      </c>
      <c r="C4" s="2" t="s">
        <v>177</v>
      </c>
      <c r="D4" s="2" t="s">
        <v>178</v>
      </c>
    </row>
    <row r="5" customFormat="false" ht="15" hidden="false" customHeight="false" outlineLevel="0" collapsed="false">
      <c r="A5" s="2" t="s">
        <v>179</v>
      </c>
      <c r="B5" s="15" t="n">
        <v>4</v>
      </c>
      <c r="C5" s="2" t="s">
        <v>180</v>
      </c>
      <c r="D5" s="2" t="s">
        <v>181</v>
      </c>
    </row>
    <row r="6" customFormat="false" ht="15" hidden="false" customHeight="false" outlineLevel="0" collapsed="false">
      <c r="A6" s="2" t="s">
        <v>182</v>
      </c>
      <c r="B6" s="15" t="n">
        <v>2</v>
      </c>
      <c r="C6" s="2" t="s">
        <v>183</v>
      </c>
      <c r="D6" s="2" t="s">
        <v>184</v>
      </c>
    </row>
    <row r="7" customFormat="false" ht="15" hidden="false" customHeight="false" outlineLevel="0" collapsed="false">
      <c r="A7" s="2" t="s">
        <v>185</v>
      </c>
      <c r="B7" s="15" t="n">
        <v>50000</v>
      </c>
      <c r="C7" s="2" t="s">
        <v>186</v>
      </c>
      <c r="D7" s="2" t="s">
        <v>187</v>
      </c>
    </row>
    <row r="8" customFormat="false" ht="15" hidden="false" customHeight="false" outlineLevel="0" collapsed="false">
      <c r="A8" s="2" t="s">
        <v>188</v>
      </c>
      <c r="B8" s="15" t="n">
        <v>228</v>
      </c>
      <c r="C8" s="2" t="s">
        <v>189</v>
      </c>
      <c r="D8" s="2" t="s">
        <v>190</v>
      </c>
    </row>
    <row r="9" customFormat="false" ht="15" hidden="false" customHeight="false" outlineLevel="0" collapsed="false">
      <c r="A9" s="2" t="s">
        <v>191</v>
      </c>
      <c r="B9" s="15" t="n">
        <v>57</v>
      </c>
      <c r="C9" s="2" t="s">
        <v>189</v>
      </c>
      <c r="D9" s="2" t="s">
        <v>192</v>
      </c>
    </row>
    <row r="10" customFormat="false" ht="15" hidden="false" customHeight="false" outlineLevel="0" collapsed="false">
      <c r="A10" s="2" t="s">
        <v>193</v>
      </c>
      <c r="B10" s="17" t="n">
        <v>11.4</v>
      </c>
      <c r="C10" s="2" t="s">
        <v>189</v>
      </c>
      <c r="D10" s="2" t="s">
        <v>194</v>
      </c>
    </row>
    <row r="11" customFormat="false" ht="15" hidden="false" customHeight="false" outlineLevel="0" collapsed="false">
      <c r="A11" s="6"/>
      <c r="B11" s="6"/>
      <c r="C11" s="6"/>
      <c r="D11" s="6"/>
    </row>
    <row r="12" customFormat="false" ht="15" hidden="false" customHeight="false" outlineLevel="0" collapsed="false">
      <c r="A12" s="12" t="s">
        <v>195</v>
      </c>
      <c r="B12" s="6"/>
      <c r="C12" s="6"/>
      <c r="D1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8"/>
  </cols>
  <sheetData>
    <row r="1" customFormat="false" ht="31.5" hidden="false" customHeight="true" outlineLevel="0" collapsed="false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</row>
    <row r="2" customFormat="false" ht="15" hidden="false" customHeight="false" outlineLevel="0" collapsed="false">
      <c r="A2" s="2" t="s">
        <v>202</v>
      </c>
      <c r="B2" s="18" t="n">
        <f aca="false">Assumptions!B8</f>
        <v>228</v>
      </c>
      <c r="C2" s="10" t="n">
        <f aca="false">BOM!F7</f>
        <v>543.44576</v>
      </c>
      <c r="D2" s="19" t="n">
        <f aca="false">IF(B2&gt;0,C2/B2,0)</f>
        <v>2.38353403508772</v>
      </c>
      <c r="E2" s="20" t="n">
        <f aca="false">IF(B2&gt;0,3*365/B2,0)</f>
        <v>4.80263157894737</v>
      </c>
      <c r="F2" s="5" t="n">
        <f aca="false">E2*C2</f>
        <v>2609.96976842105</v>
      </c>
    </row>
    <row r="3" customFormat="false" ht="15" hidden="false" customHeight="false" outlineLevel="0" collapsed="false">
      <c r="A3" s="2" t="s">
        <v>203</v>
      </c>
      <c r="B3" s="18" t="n">
        <f aca="false">Assumptions!B9</f>
        <v>57</v>
      </c>
      <c r="C3" s="10" t="n">
        <f aca="false">BOM!F7</f>
        <v>543.44576</v>
      </c>
      <c r="D3" s="19" t="n">
        <f aca="false">IF(B3&gt;0,C3/B3,0)</f>
        <v>9.53413614035088</v>
      </c>
      <c r="E3" s="20" t="n">
        <f aca="false">IF(B3&gt;0,3*365/B3,0)</f>
        <v>19.2105263157895</v>
      </c>
      <c r="F3" s="5" t="n">
        <f aca="false">E3*C3</f>
        <v>10439.8790736842</v>
      </c>
    </row>
    <row r="4" customFormat="false" ht="15" hidden="false" customHeight="false" outlineLevel="0" collapsed="false">
      <c r="A4" s="2" t="s">
        <v>204</v>
      </c>
      <c r="B4" s="18" t="n">
        <f aca="false">Assumptions!B10</f>
        <v>11.4</v>
      </c>
      <c r="C4" s="10" t="n">
        <f aca="false">BOM!F7</f>
        <v>543.44576</v>
      </c>
      <c r="D4" s="19" t="n">
        <f aca="false">IF(B4&gt;0,C4/B4,0)</f>
        <v>47.6706807017544</v>
      </c>
      <c r="E4" s="20" t="n">
        <f aca="false">IF(B4&gt;0,3*365/B4,0)</f>
        <v>96.0526315789474</v>
      </c>
      <c r="F4" s="5" t="n">
        <f aca="false">E4*C4</f>
        <v>52199.3953684211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</row>
    <row r="6" customFormat="false" ht="15" hidden="false" customHeight="false" outlineLevel="0" collapsed="false">
      <c r="A6" s="12" t="s">
        <v>205</v>
      </c>
      <c r="B6" s="6"/>
      <c r="C6" s="6"/>
      <c r="D6" s="6"/>
      <c r="E6" s="6"/>
      <c r="F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</row>
    <row r="2" customFormat="false" ht="26.85" hidden="false" customHeight="false" outlineLevel="0" collapsed="false">
      <c r="A2" s="2" t="s">
        <v>211</v>
      </c>
      <c r="B2" s="2" t="s">
        <v>212</v>
      </c>
      <c r="C2" s="2" t="s">
        <v>213</v>
      </c>
      <c r="D2" s="2" t="s">
        <v>214</v>
      </c>
      <c r="E2" s="2" t="s">
        <v>215</v>
      </c>
      <c r="F2" s="2" t="s">
        <v>216</v>
      </c>
    </row>
    <row r="3" customFormat="false" ht="26.85" hidden="false" customHeight="false" outlineLevel="0" collapsed="false">
      <c r="A3" s="2" t="s">
        <v>217</v>
      </c>
      <c r="B3" s="2" t="s">
        <v>218</v>
      </c>
      <c r="C3" s="2" t="s">
        <v>219</v>
      </c>
      <c r="D3" s="2" t="s">
        <v>220</v>
      </c>
      <c r="E3" s="2" t="s">
        <v>221</v>
      </c>
      <c r="F3" s="2" t="s">
        <v>222</v>
      </c>
    </row>
    <row r="4" customFormat="false" ht="26.85" hidden="false" customHeight="false" outlineLevel="0" collapsed="false">
      <c r="A4" s="2" t="s">
        <v>223</v>
      </c>
      <c r="B4" s="2" t="s">
        <v>224</v>
      </c>
      <c r="C4" s="2" t="s">
        <v>225</v>
      </c>
      <c r="D4" s="2" t="s">
        <v>226</v>
      </c>
      <c r="E4" s="2" t="s">
        <v>227</v>
      </c>
      <c r="F4" s="2" t="s">
        <v>228</v>
      </c>
    </row>
    <row r="5" customFormat="false" ht="26.85" hidden="false" customHeight="false" outlineLevel="0" collapsed="false">
      <c r="A5" s="2" t="s">
        <v>223</v>
      </c>
      <c r="B5" s="2" t="s">
        <v>229</v>
      </c>
      <c r="C5" s="2" t="s">
        <v>219</v>
      </c>
      <c r="D5" s="2" t="s">
        <v>230</v>
      </c>
      <c r="E5" s="2" t="s">
        <v>111</v>
      </c>
      <c r="F5" s="2" t="s">
        <v>231</v>
      </c>
    </row>
    <row r="6" customFormat="false" ht="15" hidden="false" customHeight="false" outlineLevel="0" collapsed="false">
      <c r="A6" s="2" t="s">
        <v>232</v>
      </c>
      <c r="B6" s="2" t="s">
        <v>233</v>
      </c>
      <c r="C6" s="2" t="s">
        <v>225</v>
      </c>
      <c r="D6" s="2" t="s">
        <v>234</v>
      </c>
      <c r="E6" s="2" t="s">
        <v>235</v>
      </c>
      <c r="F6" s="2" t="s">
        <v>236</v>
      </c>
    </row>
    <row r="7" customFormat="false" ht="26.85" hidden="false" customHeight="false" outlineLevel="0" collapsed="false">
      <c r="A7" s="2" t="s">
        <v>237</v>
      </c>
      <c r="B7" s="2" t="s">
        <v>238</v>
      </c>
      <c r="C7" s="2" t="s">
        <v>219</v>
      </c>
      <c r="D7" s="2" t="s">
        <v>239</v>
      </c>
      <c r="E7" s="2" t="s">
        <v>240</v>
      </c>
      <c r="F7" s="2" t="s">
        <v>241</v>
      </c>
    </row>
    <row r="8" customFormat="false" ht="39.55" hidden="false" customHeight="false" outlineLevel="0" collapsed="false">
      <c r="A8" s="2" t="s">
        <v>242</v>
      </c>
      <c r="B8" s="2" t="s">
        <v>243</v>
      </c>
      <c r="C8" s="2" t="s">
        <v>244</v>
      </c>
      <c r="D8" s="2" t="s">
        <v>245</v>
      </c>
      <c r="E8" s="2" t="s">
        <v>246</v>
      </c>
      <c r="F8" s="2" t="s">
        <v>247</v>
      </c>
    </row>
    <row r="9" customFormat="false" ht="26.85" hidden="false" customHeight="false" outlineLevel="0" collapsed="false">
      <c r="A9" s="2" t="s">
        <v>248</v>
      </c>
      <c r="B9" s="2" t="s">
        <v>249</v>
      </c>
      <c r="C9" s="2" t="s">
        <v>250</v>
      </c>
      <c r="D9" s="2" t="s">
        <v>251</v>
      </c>
      <c r="E9" s="2" t="s">
        <v>252</v>
      </c>
      <c r="F9" s="2" t="s">
        <v>253</v>
      </c>
    </row>
    <row r="10" customFormat="false" ht="39.55" hidden="false" customHeight="false" outlineLevel="0" collapsed="false">
      <c r="A10" s="2" t="s">
        <v>254</v>
      </c>
      <c r="B10" s="2" t="s">
        <v>255</v>
      </c>
      <c r="C10" s="2" t="s">
        <v>256</v>
      </c>
      <c r="D10" s="2" t="s">
        <v>257</v>
      </c>
      <c r="E10" s="2" t="s">
        <v>258</v>
      </c>
      <c r="F10" s="2" t="s">
        <v>259</v>
      </c>
    </row>
    <row r="11" customFormat="false" ht="39.55" hidden="false" customHeight="false" outlineLevel="0" collapsed="false">
      <c r="A11" s="2" t="s">
        <v>260</v>
      </c>
      <c r="B11" s="2" t="s">
        <v>261</v>
      </c>
      <c r="C11" s="2" t="s">
        <v>262</v>
      </c>
      <c r="D11" s="2" t="s">
        <v>263</v>
      </c>
      <c r="E11" s="2" t="s">
        <v>264</v>
      </c>
      <c r="F11" s="2" t="s">
        <v>265</v>
      </c>
    </row>
    <row r="12" customFormat="false" ht="26.85" hidden="false" customHeight="false" outlineLevel="0" collapsed="false">
      <c r="A12" s="2" t="s">
        <v>266</v>
      </c>
      <c r="B12" s="2" t="s">
        <v>267</v>
      </c>
      <c r="C12" s="2" t="s">
        <v>268</v>
      </c>
      <c r="D12" s="2" t="s">
        <v>269</v>
      </c>
      <c r="E12" s="2" t="s">
        <v>270</v>
      </c>
      <c r="F12" s="2" t="s">
        <v>271</v>
      </c>
    </row>
    <row r="13" customFormat="false" ht="26.85" hidden="false" customHeight="false" outlineLevel="0" collapsed="false">
      <c r="A13" s="2" t="s">
        <v>111</v>
      </c>
      <c r="B13" s="2" t="s">
        <v>272</v>
      </c>
      <c r="C13" s="2" t="s">
        <v>273</v>
      </c>
      <c r="D13" s="2" t="s">
        <v>274</v>
      </c>
      <c r="E13" s="2" t="s">
        <v>275</v>
      </c>
      <c r="F13" s="2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9" min="7" style="0" width="5"/>
    <col collapsed="false" customWidth="true" hidden="false" outlineLevel="0" max="10" min="10" style="0" width="7"/>
    <col collapsed="false" customWidth="true" hidden="false" outlineLevel="0" max="11" min="11" style="0" width="9"/>
    <col collapsed="false" customWidth="true" hidden="false" outlineLevel="0" max="12" min="12" style="0" width="44"/>
    <col collapsed="false" customWidth="true" hidden="false" outlineLevel="0" max="15" min="13" style="0" width="6"/>
    <col collapsed="false" customWidth="true" hidden="false" outlineLevel="0" max="16" min="16" style="0" width="8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</cols>
  <sheetData>
    <row r="1" customFormat="false" ht="31.5" hidden="false" customHeight="true" outlineLevel="0" collapsed="false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287</v>
      </c>
      <c r="R1" s="1" t="s">
        <v>293</v>
      </c>
      <c r="S1" s="1" t="s">
        <v>294</v>
      </c>
    </row>
    <row r="2" customFormat="false" ht="26.85" hidden="false" customHeight="false" outlineLevel="0" collapsed="false">
      <c r="A2" s="2" t="n">
        <v>1</v>
      </c>
      <c r="B2" s="2" t="s">
        <v>295</v>
      </c>
      <c r="C2" s="2" t="s">
        <v>296</v>
      </c>
      <c r="D2" s="2" t="s">
        <v>297</v>
      </c>
      <c r="E2" s="2" t="s">
        <v>298</v>
      </c>
      <c r="F2" s="2" t="s">
        <v>299</v>
      </c>
      <c r="G2" s="3" t="n">
        <v>6</v>
      </c>
      <c r="H2" s="3" t="n">
        <v>9</v>
      </c>
      <c r="I2" s="3" t="n">
        <v>9</v>
      </c>
      <c r="J2" s="2" t="n">
        <f aca="false">G2*H2*I2</f>
        <v>486</v>
      </c>
      <c r="K2" s="2" t="str">
        <f aca="false">IF(J2&gt;125,"critical","")</f>
        <v>critical</v>
      </c>
      <c r="L2" s="2" t="s">
        <v>300</v>
      </c>
      <c r="M2" s="3" t="n">
        <v>2</v>
      </c>
      <c r="N2" s="3" t="n">
        <v>9</v>
      </c>
      <c r="O2" s="3" t="n">
        <v>6</v>
      </c>
      <c r="P2" s="2" t="n">
        <f aca="false">M2*N2*O2</f>
        <v>108</v>
      </c>
      <c r="Q2" s="2" t="str">
        <f aca="false">IF(P2&gt;125,"critical","")</f>
        <v/>
      </c>
      <c r="R2" s="2" t="s">
        <v>301</v>
      </c>
      <c r="S2" s="2"/>
    </row>
    <row r="3" customFormat="false" ht="26.85" hidden="false" customHeight="false" outlineLevel="0" collapsed="false">
      <c r="A3" s="2" t="n">
        <v>2</v>
      </c>
      <c r="B3" s="2" t="s">
        <v>302</v>
      </c>
      <c r="C3" s="2" t="s">
        <v>303</v>
      </c>
      <c r="D3" s="2" t="s">
        <v>304</v>
      </c>
      <c r="E3" s="2" t="s">
        <v>305</v>
      </c>
      <c r="F3" s="2" t="s">
        <v>306</v>
      </c>
      <c r="G3" s="3" t="n">
        <v>6</v>
      </c>
      <c r="H3" s="3" t="n">
        <v>9</v>
      </c>
      <c r="I3" s="3" t="n">
        <v>8</v>
      </c>
      <c r="J3" s="2" t="n">
        <f aca="false">G3*H3*I3</f>
        <v>432</v>
      </c>
      <c r="K3" s="2" t="str">
        <f aca="false">IF(J3&gt;125,"critical","")</f>
        <v>critical</v>
      </c>
      <c r="L3" s="2" t="s">
        <v>307</v>
      </c>
      <c r="M3" s="3" t="n">
        <v>2</v>
      </c>
      <c r="N3" s="3" t="n">
        <v>9</v>
      </c>
      <c r="O3" s="3" t="n">
        <v>5</v>
      </c>
      <c r="P3" s="2" t="n">
        <f aca="false">M3*N3*O3</f>
        <v>90</v>
      </c>
      <c r="Q3" s="2" t="str">
        <f aca="false">IF(P3&gt;125,"critical","")</f>
        <v/>
      </c>
      <c r="R3" s="2" t="s">
        <v>301</v>
      </c>
      <c r="S3" s="2"/>
    </row>
    <row r="4" customFormat="false" ht="26.85" hidden="false" customHeight="false" outlineLevel="0" collapsed="false">
      <c r="A4" s="2" t="n">
        <v>3</v>
      </c>
      <c r="B4" s="2" t="s">
        <v>308</v>
      </c>
      <c r="C4" s="2" t="s">
        <v>309</v>
      </c>
      <c r="D4" s="2" t="s">
        <v>310</v>
      </c>
      <c r="E4" s="2" t="s">
        <v>311</v>
      </c>
      <c r="F4" s="2" t="s">
        <v>299</v>
      </c>
      <c r="G4" s="3" t="n">
        <v>8</v>
      </c>
      <c r="H4" s="3" t="n">
        <v>7</v>
      </c>
      <c r="I4" s="3" t="n">
        <v>7</v>
      </c>
      <c r="J4" s="2" t="n">
        <f aca="false">G4*H4*I4</f>
        <v>392</v>
      </c>
      <c r="K4" s="2" t="str">
        <f aca="false">IF(J4&gt;125,"critical","")</f>
        <v>critical</v>
      </c>
      <c r="L4" s="2" t="s">
        <v>312</v>
      </c>
      <c r="M4" s="3" t="n">
        <v>4</v>
      </c>
      <c r="N4" s="3" t="n">
        <v>7</v>
      </c>
      <c r="O4" s="3" t="n">
        <v>4</v>
      </c>
      <c r="P4" s="2" t="n">
        <f aca="false">M4*N4*O4</f>
        <v>112</v>
      </c>
      <c r="Q4" s="2" t="str">
        <f aca="false">IF(P4&gt;125,"critical","")</f>
        <v/>
      </c>
      <c r="R4" s="2" t="s">
        <v>313</v>
      </c>
      <c r="S4" s="2"/>
    </row>
    <row r="5" customFormat="false" ht="26.85" hidden="false" customHeight="false" outlineLevel="0" collapsed="false">
      <c r="A5" s="2" t="n">
        <v>4</v>
      </c>
      <c r="B5" s="2" t="s">
        <v>314</v>
      </c>
      <c r="C5" s="2" t="s">
        <v>315</v>
      </c>
      <c r="D5" s="2" t="s">
        <v>316</v>
      </c>
      <c r="E5" s="2" t="s">
        <v>317</v>
      </c>
      <c r="F5" s="2" t="s">
        <v>299</v>
      </c>
      <c r="G5" s="3" t="n">
        <v>7</v>
      </c>
      <c r="H5" s="3" t="n">
        <v>6</v>
      </c>
      <c r="I5" s="3" t="n">
        <v>8</v>
      </c>
      <c r="J5" s="2" t="n">
        <f aca="false">G5*H5*I5</f>
        <v>336</v>
      </c>
      <c r="K5" s="2" t="str">
        <f aca="false">IF(J5&gt;125,"critical","")</f>
        <v>critical</v>
      </c>
      <c r="L5" s="2" t="s">
        <v>318</v>
      </c>
      <c r="M5" s="3" t="n">
        <v>3</v>
      </c>
      <c r="N5" s="3" t="n">
        <v>6</v>
      </c>
      <c r="O5" s="3" t="n">
        <v>6</v>
      </c>
      <c r="P5" s="2" t="n">
        <f aca="false">M5*N5*O5</f>
        <v>108</v>
      </c>
      <c r="Q5" s="2" t="str">
        <f aca="false">IF(P5&gt;125,"critical","")</f>
        <v/>
      </c>
      <c r="R5" s="2" t="s">
        <v>319</v>
      </c>
      <c r="S5" s="2"/>
    </row>
    <row r="6" customFormat="false" ht="26.85" hidden="false" customHeight="false" outlineLevel="0" collapsed="false">
      <c r="A6" s="2" t="n">
        <v>5</v>
      </c>
      <c r="B6" s="2" t="s">
        <v>320</v>
      </c>
      <c r="C6" s="2" t="s">
        <v>321</v>
      </c>
      <c r="D6" s="2" t="s">
        <v>322</v>
      </c>
      <c r="E6" s="2" t="s">
        <v>323</v>
      </c>
      <c r="F6" s="2" t="s">
        <v>299</v>
      </c>
      <c r="G6" s="3" t="n">
        <v>6</v>
      </c>
      <c r="H6" s="3" t="n">
        <v>6</v>
      </c>
      <c r="I6" s="3" t="n">
        <v>8</v>
      </c>
      <c r="J6" s="2" t="n">
        <f aca="false">G6*H6*I6</f>
        <v>288</v>
      </c>
      <c r="K6" s="2" t="str">
        <f aca="false">IF(J6&gt;125,"critical","")</f>
        <v>critical</v>
      </c>
      <c r="L6" s="2" t="s">
        <v>324</v>
      </c>
      <c r="M6" s="3" t="n">
        <v>4</v>
      </c>
      <c r="N6" s="3" t="n">
        <v>6</v>
      </c>
      <c r="O6" s="3" t="n">
        <v>5</v>
      </c>
      <c r="P6" s="2" t="n">
        <f aca="false">M6*N6*O6</f>
        <v>120</v>
      </c>
      <c r="Q6" s="2" t="str">
        <f aca="false">IF(P6&gt;125,"critical","")</f>
        <v/>
      </c>
      <c r="R6" s="2" t="s">
        <v>325</v>
      </c>
      <c r="S6" s="2"/>
    </row>
    <row r="7" customFormat="false" ht="26.85" hidden="false" customHeight="false" outlineLevel="0" collapsed="false">
      <c r="A7" s="2" t="n">
        <v>6</v>
      </c>
      <c r="B7" s="2" t="s">
        <v>326</v>
      </c>
      <c r="C7" s="2" t="s">
        <v>327</v>
      </c>
      <c r="D7" s="2" t="s">
        <v>328</v>
      </c>
      <c r="E7" s="2" t="s">
        <v>329</v>
      </c>
      <c r="F7" s="2" t="s">
        <v>299</v>
      </c>
      <c r="G7" s="3" t="n">
        <v>6</v>
      </c>
      <c r="H7" s="3" t="n">
        <v>6</v>
      </c>
      <c r="I7" s="3" t="n">
        <v>8</v>
      </c>
      <c r="J7" s="2" t="n">
        <f aca="false">G7*H7*I7</f>
        <v>288</v>
      </c>
      <c r="K7" s="2" t="str">
        <f aca="false">IF(J7&gt;125,"critical","")</f>
        <v>critical</v>
      </c>
      <c r="L7" s="2" t="s">
        <v>330</v>
      </c>
      <c r="M7" s="3" t="n">
        <v>2</v>
      </c>
      <c r="N7" s="3" t="n">
        <v>6</v>
      </c>
      <c r="O7" s="3" t="n">
        <v>2</v>
      </c>
      <c r="P7" s="2" t="n">
        <f aca="false">M7*N7*O7</f>
        <v>24</v>
      </c>
      <c r="Q7" s="2" t="str">
        <f aca="false">IF(P7&gt;125,"critical","")</f>
        <v/>
      </c>
      <c r="R7" s="2" t="s">
        <v>331</v>
      </c>
      <c r="S7" s="2"/>
    </row>
    <row r="8" customFormat="false" ht="26.85" hidden="false" customHeight="false" outlineLevel="0" collapsed="false">
      <c r="A8" s="2" t="n">
        <v>7</v>
      </c>
      <c r="B8" s="2" t="s">
        <v>332</v>
      </c>
      <c r="C8" s="2" t="s">
        <v>333</v>
      </c>
      <c r="D8" s="2" t="s">
        <v>334</v>
      </c>
      <c r="E8" s="2" t="s">
        <v>335</v>
      </c>
      <c r="F8" s="2" t="s">
        <v>332</v>
      </c>
      <c r="G8" s="3" t="n">
        <v>4</v>
      </c>
      <c r="H8" s="3" t="n">
        <v>7</v>
      </c>
      <c r="I8" s="3" t="n">
        <v>7</v>
      </c>
      <c r="J8" s="2" t="n">
        <f aca="false">G8*H8*I8</f>
        <v>196</v>
      </c>
      <c r="K8" s="2" t="str">
        <f aca="false">IF(J8&gt;125,"critical","")</f>
        <v>critical</v>
      </c>
      <c r="L8" s="2" t="s">
        <v>336</v>
      </c>
      <c r="M8" s="3" t="n">
        <v>3</v>
      </c>
      <c r="N8" s="3" t="n">
        <v>5</v>
      </c>
      <c r="O8" s="3" t="n">
        <v>4</v>
      </c>
      <c r="P8" s="2" t="n">
        <f aca="false">M8*N8*O8</f>
        <v>60</v>
      </c>
      <c r="Q8" s="2" t="str">
        <f aca="false">IF(P8&gt;125,"critical","")</f>
        <v/>
      </c>
      <c r="R8" s="2" t="s">
        <v>337</v>
      </c>
      <c r="S8" s="2"/>
    </row>
    <row r="9" customFormat="false" ht="26.85" hidden="false" customHeight="false" outlineLevel="0" collapsed="false">
      <c r="A9" s="2" t="n">
        <v>8</v>
      </c>
      <c r="B9" s="2" t="s">
        <v>338</v>
      </c>
      <c r="C9" s="2" t="s">
        <v>339</v>
      </c>
      <c r="D9" s="2" t="s">
        <v>340</v>
      </c>
      <c r="E9" s="2" t="s">
        <v>341</v>
      </c>
      <c r="F9" s="2" t="s">
        <v>342</v>
      </c>
      <c r="G9" s="3" t="n">
        <v>4</v>
      </c>
      <c r="H9" s="3" t="n">
        <v>8</v>
      </c>
      <c r="I9" s="3" t="n">
        <v>6</v>
      </c>
      <c r="J9" s="2" t="n">
        <f aca="false">G9*H9*I9</f>
        <v>192</v>
      </c>
      <c r="K9" s="2" t="str">
        <f aca="false">IF(J9&gt;125,"critical","")</f>
        <v>critical</v>
      </c>
      <c r="L9" s="2" t="s">
        <v>343</v>
      </c>
      <c r="M9" s="3" t="n">
        <v>3</v>
      </c>
      <c r="N9" s="3" t="n">
        <v>8</v>
      </c>
      <c r="O9" s="3" t="n">
        <v>4</v>
      </c>
      <c r="P9" s="2" t="n">
        <f aca="false">M9*N9*O9</f>
        <v>96</v>
      </c>
      <c r="Q9" s="2" t="str">
        <f aca="false">IF(P9&gt;125,"critical","")</f>
        <v/>
      </c>
      <c r="R9" s="2" t="s">
        <v>301</v>
      </c>
      <c r="S9" s="2"/>
    </row>
    <row r="10" customFormat="false" ht="26.85" hidden="false" customHeight="false" outlineLevel="0" collapsed="false">
      <c r="A10" s="2" t="n">
        <v>9</v>
      </c>
      <c r="B10" s="2" t="s">
        <v>344</v>
      </c>
      <c r="C10" s="2" t="s">
        <v>345</v>
      </c>
      <c r="D10" s="2" t="s">
        <v>346</v>
      </c>
      <c r="E10" s="2" t="s">
        <v>347</v>
      </c>
      <c r="F10" s="2" t="s">
        <v>299</v>
      </c>
      <c r="G10" s="3" t="n">
        <v>5</v>
      </c>
      <c r="H10" s="3" t="n">
        <v>6</v>
      </c>
      <c r="I10" s="3" t="n">
        <v>6</v>
      </c>
      <c r="J10" s="2" t="n">
        <f aca="false">G10*H10*I10</f>
        <v>180</v>
      </c>
      <c r="K10" s="2" t="str">
        <f aca="false">IF(J10&gt;125,"critical","")</f>
        <v>critical</v>
      </c>
      <c r="L10" s="2" t="s">
        <v>348</v>
      </c>
      <c r="M10" s="3" t="n">
        <v>3</v>
      </c>
      <c r="N10" s="3" t="n">
        <v>6</v>
      </c>
      <c r="O10" s="3" t="n">
        <v>4</v>
      </c>
      <c r="P10" s="2" t="n">
        <f aca="false">M10*N10*O10</f>
        <v>72</v>
      </c>
      <c r="Q10" s="2" t="str">
        <f aca="false">IF(P10&gt;125,"critical","")</f>
        <v/>
      </c>
      <c r="R10" s="2" t="s">
        <v>349</v>
      </c>
      <c r="S10" s="2"/>
    </row>
    <row r="11" customFormat="false" ht="26.85" hidden="false" customHeight="false" outlineLevel="0" collapsed="false">
      <c r="A11" s="2" t="n">
        <v>10</v>
      </c>
      <c r="B11" s="2" t="s">
        <v>350</v>
      </c>
      <c r="C11" s="2" t="s">
        <v>351</v>
      </c>
      <c r="D11" s="2" t="s">
        <v>352</v>
      </c>
      <c r="E11" s="2" t="s">
        <v>353</v>
      </c>
      <c r="F11" s="2" t="s">
        <v>354</v>
      </c>
      <c r="G11" s="3" t="n">
        <v>3</v>
      </c>
      <c r="H11" s="3" t="n">
        <v>7</v>
      </c>
      <c r="I11" s="3" t="n">
        <v>7</v>
      </c>
      <c r="J11" s="2" t="n">
        <f aca="false">G11*H11*I11</f>
        <v>147</v>
      </c>
      <c r="K11" s="2" t="str">
        <f aca="false">IF(J11&gt;125,"critical","")</f>
        <v>critical</v>
      </c>
      <c r="L11" s="2" t="s">
        <v>355</v>
      </c>
      <c r="M11" s="3" t="n">
        <v>2</v>
      </c>
      <c r="N11" s="3" t="n">
        <v>7</v>
      </c>
      <c r="O11" s="3" t="n">
        <v>4</v>
      </c>
      <c r="P11" s="2" t="n">
        <f aca="false">M11*N11*O11</f>
        <v>56</v>
      </c>
      <c r="Q11" s="2" t="str">
        <f aca="false">IF(P11&gt;125,"critical","")</f>
        <v/>
      </c>
      <c r="R11" s="2" t="s">
        <v>301</v>
      </c>
      <c r="S11" s="2" t="s">
        <v>356</v>
      </c>
    </row>
    <row r="12" customFormat="false" ht="26.85" hidden="false" customHeight="false" outlineLevel="0" collapsed="false">
      <c r="A12" s="2" t="n">
        <v>11</v>
      </c>
      <c r="B12" s="2" t="s">
        <v>308</v>
      </c>
      <c r="C12" s="2" t="s">
        <v>357</v>
      </c>
      <c r="D12" s="2" t="s">
        <v>358</v>
      </c>
      <c r="E12" s="2" t="s">
        <v>359</v>
      </c>
      <c r="F12" s="2" t="s">
        <v>299</v>
      </c>
      <c r="G12" s="3" t="n">
        <v>9</v>
      </c>
      <c r="H12" s="3" t="n">
        <v>6</v>
      </c>
      <c r="I12" s="3" t="n">
        <v>2</v>
      </c>
      <c r="J12" s="2" t="n">
        <f aca="false">G12*H12*I12</f>
        <v>108</v>
      </c>
      <c r="K12" s="2" t="str">
        <f aca="false">IF(J12&gt;125,"critical","")</f>
        <v/>
      </c>
      <c r="L12" s="2" t="s">
        <v>360</v>
      </c>
      <c r="M12" s="3" t="n">
        <v>4</v>
      </c>
      <c r="N12" s="3" t="n">
        <v>6</v>
      </c>
      <c r="O12" s="3" t="n">
        <v>2</v>
      </c>
      <c r="P12" s="2" t="n">
        <f aca="false">M12*N12*O12</f>
        <v>48</v>
      </c>
      <c r="Q12" s="2" t="str">
        <f aca="false">IF(P12&gt;125,"critical","")</f>
        <v/>
      </c>
      <c r="R12" s="2" t="s">
        <v>313</v>
      </c>
      <c r="S12" s="2"/>
    </row>
    <row r="13" customFormat="false" ht="15" hidden="false" customHeight="false" outlineLevel="0" collapsed="false">
      <c r="A13" s="2" t="n">
        <v>12</v>
      </c>
      <c r="B13" s="2" t="s">
        <v>361</v>
      </c>
      <c r="C13" s="2" t="s">
        <v>362</v>
      </c>
      <c r="D13" s="2" t="s">
        <v>363</v>
      </c>
      <c r="E13" s="2" t="s">
        <v>364</v>
      </c>
      <c r="F13" s="2" t="s">
        <v>299</v>
      </c>
      <c r="G13" s="3" t="n">
        <v>7</v>
      </c>
      <c r="H13" s="3" t="n">
        <v>5</v>
      </c>
      <c r="I13" s="3" t="n">
        <v>3</v>
      </c>
      <c r="J13" s="2" t="n">
        <f aca="false">G13*H13*I13</f>
        <v>105</v>
      </c>
      <c r="K13" s="2" t="str">
        <f aca="false">IF(J13&gt;125,"critical","")</f>
        <v/>
      </c>
      <c r="L13" s="2" t="s">
        <v>365</v>
      </c>
      <c r="M13" s="3" t="n">
        <v>4</v>
      </c>
      <c r="N13" s="3" t="n">
        <v>5</v>
      </c>
      <c r="O13" s="3" t="n">
        <v>2</v>
      </c>
      <c r="P13" s="2" t="n">
        <f aca="false">M13*N13*O13</f>
        <v>40</v>
      </c>
      <c r="Q13" s="2" t="str">
        <f aca="false">IF(P13&gt;125,"critical","")</f>
        <v/>
      </c>
      <c r="R13" s="2" t="s">
        <v>366</v>
      </c>
      <c r="S13" s="2"/>
    </row>
    <row r="14" customFormat="false" ht="15" hidden="false" customHeight="false" outlineLevel="0" collapsed="false">
      <c r="A14" s="2" t="n">
        <v>13</v>
      </c>
      <c r="B14" s="2" t="s">
        <v>367</v>
      </c>
      <c r="C14" s="2" t="s">
        <v>368</v>
      </c>
      <c r="D14" s="2" t="s">
        <v>369</v>
      </c>
      <c r="E14" s="2" t="s">
        <v>370</v>
      </c>
      <c r="F14" s="2" t="s">
        <v>299</v>
      </c>
      <c r="G14" s="3" t="n">
        <v>5</v>
      </c>
      <c r="H14" s="3" t="n">
        <v>3</v>
      </c>
      <c r="I14" s="3" t="n">
        <v>7</v>
      </c>
      <c r="J14" s="2" t="n">
        <f aca="false">G14*H14*I14</f>
        <v>105</v>
      </c>
      <c r="K14" s="2" t="str">
        <f aca="false">IF(J14&gt;125,"critical","")</f>
        <v/>
      </c>
      <c r="L14" s="2" t="s">
        <v>371</v>
      </c>
      <c r="M14" s="3" t="n">
        <v>3</v>
      </c>
      <c r="N14" s="3" t="n">
        <v>3</v>
      </c>
      <c r="O14" s="3" t="n">
        <v>5</v>
      </c>
      <c r="P14" s="2" t="n">
        <f aca="false">M14*N14*O14</f>
        <v>45</v>
      </c>
      <c r="Q14" s="2" t="str">
        <f aca="false">IF(P14&gt;125,"critical","")</f>
        <v/>
      </c>
      <c r="R14" s="2" t="s">
        <v>372</v>
      </c>
      <c r="S14" s="2"/>
    </row>
    <row r="15" customFormat="false" ht="26.85" hidden="false" customHeight="false" outlineLevel="0" collapsed="false">
      <c r="A15" s="2" t="n">
        <v>14</v>
      </c>
      <c r="B15" s="2" t="s">
        <v>373</v>
      </c>
      <c r="C15" s="2" t="s">
        <v>374</v>
      </c>
      <c r="D15" s="2" t="s">
        <v>375</v>
      </c>
      <c r="E15" s="2" t="s">
        <v>376</v>
      </c>
      <c r="F15" s="2" t="s">
        <v>354</v>
      </c>
      <c r="G15" s="3" t="n">
        <v>5</v>
      </c>
      <c r="H15" s="3" t="n">
        <v>4</v>
      </c>
      <c r="I15" s="3" t="n">
        <v>5</v>
      </c>
      <c r="J15" s="2" t="n">
        <f aca="false">G15*H15*I15</f>
        <v>100</v>
      </c>
      <c r="K15" s="2" t="str">
        <f aca="false">IF(J15&gt;125,"critical","")</f>
        <v/>
      </c>
      <c r="L15" s="2" t="s">
        <v>377</v>
      </c>
      <c r="M15" s="3" t="n">
        <v>3</v>
      </c>
      <c r="N15" s="3" t="n">
        <v>4</v>
      </c>
      <c r="O15" s="3" t="n">
        <v>4</v>
      </c>
      <c r="P15" s="2" t="n">
        <f aca="false">M15*N15*O15</f>
        <v>48</v>
      </c>
      <c r="Q15" s="2" t="str">
        <f aca="false">IF(P15&gt;125,"critical","")</f>
        <v/>
      </c>
      <c r="R15" s="2" t="s">
        <v>378</v>
      </c>
      <c r="S15" s="2" t="s">
        <v>356</v>
      </c>
    </row>
    <row r="16" customFormat="false" ht="26.85" hidden="false" customHeight="false" outlineLevel="0" collapsed="false">
      <c r="A16" s="2" t="n">
        <v>15</v>
      </c>
      <c r="B16" s="2" t="s">
        <v>379</v>
      </c>
      <c r="C16" s="2" t="s">
        <v>380</v>
      </c>
      <c r="D16" s="2" t="s">
        <v>381</v>
      </c>
      <c r="E16" s="2" t="s">
        <v>382</v>
      </c>
      <c r="F16" s="2" t="s">
        <v>383</v>
      </c>
      <c r="G16" s="3" t="n">
        <v>3</v>
      </c>
      <c r="H16" s="3" t="n">
        <v>8</v>
      </c>
      <c r="I16" s="3" t="n">
        <v>4</v>
      </c>
      <c r="J16" s="2" t="n">
        <f aca="false">G16*H16*I16</f>
        <v>96</v>
      </c>
      <c r="K16" s="2" t="str">
        <f aca="false">IF(J16&gt;125,"critical","")</f>
        <v/>
      </c>
      <c r="L16" s="2" t="s">
        <v>384</v>
      </c>
      <c r="M16" s="3" t="n">
        <v>2</v>
      </c>
      <c r="N16" s="3" t="n">
        <v>8</v>
      </c>
      <c r="O16" s="3" t="n">
        <v>2</v>
      </c>
      <c r="P16" s="2" t="n">
        <f aca="false">M16*N16*O16</f>
        <v>32</v>
      </c>
      <c r="Q16" s="2" t="str">
        <f aca="false">IF(P16&gt;125,"critical","")</f>
        <v/>
      </c>
      <c r="R16" s="2" t="s">
        <v>385</v>
      </c>
      <c r="S16" s="2"/>
    </row>
    <row r="17" customFormat="false" ht="26.85" hidden="false" customHeight="false" outlineLevel="0" collapsed="false">
      <c r="A17" s="2" t="n">
        <v>16</v>
      </c>
      <c r="B17" s="2" t="s">
        <v>386</v>
      </c>
      <c r="C17" s="2" t="s">
        <v>387</v>
      </c>
      <c r="D17" s="2" t="s">
        <v>388</v>
      </c>
      <c r="E17" s="2" t="s">
        <v>389</v>
      </c>
      <c r="F17" s="2" t="s">
        <v>299</v>
      </c>
      <c r="G17" s="3" t="n">
        <v>8</v>
      </c>
      <c r="H17" s="3" t="n">
        <v>6</v>
      </c>
      <c r="I17" s="3" t="n">
        <v>2</v>
      </c>
      <c r="J17" s="2" t="n">
        <f aca="false">G17*H17*I17</f>
        <v>96</v>
      </c>
      <c r="K17" s="2" t="str">
        <f aca="false">IF(J17&gt;125,"critical","")</f>
        <v/>
      </c>
      <c r="L17" s="2" t="s">
        <v>390</v>
      </c>
      <c r="M17" s="3" t="n">
        <v>6</v>
      </c>
      <c r="N17" s="3" t="n">
        <v>6</v>
      </c>
      <c r="O17" s="3" t="n">
        <v>2</v>
      </c>
      <c r="P17" s="2" t="n">
        <f aca="false">M17*N17*O17</f>
        <v>72</v>
      </c>
      <c r="Q17" s="2" t="str">
        <f aca="false">IF(P17&gt;125,"critical","")</f>
        <v/>
      </c>
      <c r="R17" s="2" t="s">
        <v>391</v>
      </c>
      <c r="S17" s="2"/>
    </row>
    <row r="18" customFormat="false" ht="26.85" hidden="false" customHeight="false" outlineLevel="0" collapsed="false">
      <c r="A18" s="2" t="n">
        <v>17</v>
      </c>
      <c r="B18" s="2" t="s">
        <v>392</v>
      </c>
      <c r="C18" s="2" t="s">
        <v>393</v>
      </c>
      <c r="D18" s="2" t="s">
        <v>363</v>
      </c>
      <c r="E18" s="2" t="s">
        <v>394</v>
      </c>
      <c r="F18" s="2" t="s">
        <v>395</v>
      </c>
      <c r="G18" s="3" t="n">
        <v>5</v>
      </c>
      <c r="H18" s="3" t="n">
        <v>6</v>
      </c>
      <c r="I18" s="3" t="n">
        <v>3</v>
      </c>
      <c r="J18" s="2" t="n">
        <f aca="false">G18*H18*I18</f>
        <v>90</v>
      </c>
      <c r="K18" s="2" t="str">
        <f aca="false">IF(J18&gt;125,"critical","")</f>
        <v/>
      </c>
      <c r="L18" s="2" t="s">
        <v>396</v>
      </c>
      <c r="M18" s="3" t="n">
        <v>3</v>
      </c>
      <c r="N18" s="3" t="n">
        <v>6</v>
      </c>
      <c r="O18" s="3" t="n">
        <v>2</v>
      </c>
      <c r="P18" s="2" t="n">
        <f aca="false">M18*N18*O18</f>
        <v>36</v>
      </c>
      <c r="Q18" s="2" t="str">
        <f aca="false">IF(P18&gt;125,"critical","")</f>
        <v/>
      </c>
      <c r="R18" s="2" t="s">
        <v>331</v>
      </c>
      <c r="S18" s="2"/>
    </row>
    <row r="19" customFormat="false" ht="26.85" hidden="false" customHeight="false" outlineLevel="0" collapsed="false">
      <c r="A19" s="2" t="n">
        <v>18</v>
      </c>
      <c r="B19" s="2" t="s">
        <v>397</v>
      </c>
      <c r="C19" s="2" t="s">
        <v>398</v>
      </c>
      <c r="D19" s="2" t="s">
        <v>399</v>
      </c>
      <c r="E19" s="2" t="s">
        <v>400</v>
      </c>
      <c r="F19" s="2" t="s">
        <v>299</v>
      </c>
      <c r="G19" s="3" t="n">
        <v>6</v>
      </c>
      <c r="H19" s="3" t="n">
        <v>4</v>
      </c>
      <c r="I19" s="3" t="n">
        <v>2</v>
      </c>
      <c r="J19" s="2" t="n">
        <f aca="false">G19*H19*I19</f>
        <v>48</v>
      </c>
      <c r="K19" s="2" t="str">
        <f aca="false">IF(J19&gt;125,"critical","")</f>
        <v/>
      </c>
      <c r="L19" s="2" t="s">
        <v>401</v>
      </c>
      <c r="M19" s="3" t="n">
        <v>4</v>
      </c>
      <c r="N19" s="3" t="n">
        <v>5</v>
      </c>
      <c r="O19" s="3" t="n">
        <v>2</v>
      </c>
      <c r="P19" s="2" t="n">
        <f aca="false">M19*N19*O19</f>
        <v>40</v>
      </c>
      <c r="Q19" s="2" t="str">
        <f aca="false">IF(P19&gt;125,"critical","")</f>
        <v/>
      </c>
      <c r="R19" s="2" t="s">
        <v>402</v>
      </c>
      <c r="S19" s="2"/>
    </row>
    <row r="20" customFormat="false" ht="15" hidden="false" customHeight="false" outlineLevel="0" collapsed="false">
      <c r="A20" s="2" t="n">
        <v>19</v>
      </c>
      <c r="B20" s="2" t="s">
        <v>403</v>
      </c>
      <c r="C20" s="2" t="s">
        <v>404</v>
      </c>
      <c r="D20" s="2" t="s">
        <v>405</v>
      </c>
      <c r="E20" s="2" t="s">
        <v>406</v>
      </c>
      <c r="F20" s="2" t="s">
        <v>299</v>
      </c>
      <c r="G20" s="3" t="n">
        <v>3</v>
      </c>
      <c r="H20" s="3" t="n">
        <v>5</v>
      </c>
      <c r="I20" s="3" t="n">
        <v>3</v>
      </c>
      <c r="J20" s="2" t="n">
        <f aca="false">G20*H20*I20</f>
        <v>45</v>
      </c>
      <c r="K20" s="2" t="str">
        <f aca="false">IF(J20&gt;125,"critical","")</f>
        <v/>
      </c>
      <c r="L20" s="2" t="s">
        <v>407</v>
      </c>
      <c r="M20" s="3" t="n">
        <v>2</v>
      </c>
      <c r="N20" s="3" t="n">
        <v>5</v>
      </c>
      <c r="O20" s="3" t="n">
        <v>3</v>
      </c>
      <c r="P20" s="2" t="n">
        <f aca="false">M20*N20*O20</f>
        <v>30</v>
      </c>
      <c r="Q20" s="2" t="str">
        <f aca="false">IF(P20&gt;125,"critical","")</f>
        <v/>
      </c>
      <c r="R20" s="2" t="s">
        <v>331</v>
      </c>
      <c r="S20" s="2"/>
    </row>
    <row r="21" customFormat="false" ht="26.85" hidden="false" customHeight="false" outlineLevel="0" collapsed="false">
      <c r="A21" s="2" t="n">
        <v>20</v>
      </c>
      <c r="B21" s="2" t="s">
        <v>408</v>
      </c>
      <c r="C21" s="2" t="s">
        <v>409</v>
      </c>
      <c r="D21" s="2" t="s">
        <v>410</v>
      </c>
      <c r="E21" s="2" t="s">
        <v>411</v>
      </c>
      <c r="F21" s="2" t="s">
        <v>412</v>
      </c>
      <c r="G21" s="3" t="n">
        <v>5</v>
      </c>
      <c r="H21" s="3" t="n">
        <v>3</v>
      </c>
      <c r="I21" s="3" t="n">
        <v>2</v>
      </c>
      <c r="J21" s="2" t="n">
        <f aca="false">G21*H21*I21</f>
        <v>30</v>
      </c>
      <c r="K21" s="2" t="str">
        <f aca="false">IF(J21&gt;125,"critical","")</f>
        <v/>
      </c>
      <c r="L21" s="2" t="s">
        <v>413</v>
      </c>
      <c r="M21" s="3" t="n">
        <v>3</v>
      </c>
      <c r="N21" s="3" t="n">
        <v>3</v>
      </c>
      <c r="O21" s="3" t="n">
        <v>2</v>
      </c>
      <c r="P21" s="2" t="n">
        <f aca="false">M21*N21*O21</f>
        <v>18</v>
      </c>
      <c r="Q21" s="2" t="str">
        <f aca="false">IF(P21&gt;125,"critical","")</f>
        <v/>
      </c>
      <c r="R21" s="2" t="s">
        <v>111</v>
      </c>
      <c r="S21" s="2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customFormat="false" ht="15" hidden="false" customHeight="false" outlineLevel="0" collapsed="false">
      <c r="A23" s="6"/>
      <c r="B23" s="7" t="s">
        <v>414</v>
      </c>
      <c r="C23" s="6"/>
      <c r="D23" s="6"/>
      <c r="E23" s="6"/>
      <c r="F23" s="6"/>
      <c r="G23" s="6"/>
      <c r="H23" s="6"/>
      <c r="I23" s="6"/>
      <c r="J23" s="7" t="n">
        <f aca="false">COUNTIF(J2:J21,"&gt;125")</f>
        <v>10</v>
      </c>
      <c r="K23" s="6"/>
      <c r="L23" s="6"/>
      <c r="M23" s="6"/>
      <c r="N23" s="6"/>
      <c r="O23" s="6"/>
      <c r="P23" s="7" t="n">
        <f aca="false">COUNTIF(P2:P21,"&gt;125")</f>
        <v>0</v>
      </c>
      <c r="Q23" s="6"/>
      <c r="R23" s="6"/>
      <c r="S23" s="6"/>
    </row>
    <row r="24" customFormat="false" ht="15" hidden="false" customHeight="false" outlineLevel="0" collapsed="false">
      <c r="A24" s="6"/>
      <c r="B24" s="7" t="s">
        <v>415</v>
      </c>
      <c r="C24" s="6"/>
      <c r="D24" s="6"/>
      <c r="E24" s="6"/>
      <c r="F24" s="6"/>
      <c r="G24" s="6"/>
      <c r="H24" s="6"/>
      <c r="I24" s="6"/>
      <c r="J24" s="7" t="n">
        <f aca="false">SUM(J2:J21)</f>
        <v>3760</v>
      </c>
      <c r="K24" s="6"/>
      <c r="L24" s="6"/>
      <c r="M24" s="6"/>
      <c r="N24" s="6"/>
      <c r="O24" s="6"/>
      <c r="P24" s="7" t="n">
        <f aca="false">SUM(P2:P21)</f>
        <v>1255</v>
      </c>
      <c r="Q24" s="6"/>
      <c r="R24" s="6"/>
      <c r="S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customFormat="false" ht="15" hidden="false" customHeight="false" outlineLevel="0" collapsed="false">
      <c r="A26" s="6"/>
      <c r="B26" s="12" t="s">
        <v>416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60"/>
    <col collapsed="false" customWidth="true" hidden="false" outlineLevel="0" max="8" min="8" style="0" width="26"/>
  </cols>
  <sheetData>
    <row r="1" customFormat="false" ht="31.5" hidden="false" customHeight="true" outlineLevel="0" collapsed="false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  <c r="H1" s="1" t="s">
        <v>424</v>
      </c>
    </row>
    <row r="2" customFormat="false" ht="26.85" hidden="false" customHeight="false" outlineLevel="0" collapsed="false">
      <c r="A2" s="2" t="s">
        <v>425</v>
      </c>
      <c r="B2" s="2" t="s">
        <v>426</v>
      </c>
      <c r="C2" s="2" t="s">
        <v>427</v>
      </c>
      <c r="D2" s="2" t="s">
        <v>428</v>
      </c>
      <c r="E2" s="2" t="s">
        <v>429</v>
      </c>
      <c r="F2" s="2" t="s">
        <v>430</v>
      </c>
      <c r="G2" s="2" t="s">
        <v>431</v>
      </c>
      <c r="H2" s="2" t="s">
        <v>432</v>
      </c>
    </row>
    <row r="3" customFormat="false" ht="26.85" hidden="false" customHeight="false" outlineLevel="0" collapsed="false">
      <c r="A3" s="2" t="s">
        <v>425</v>
      </c>
      <c r="B3" s="2" t="s">
        <v>426</v>
      </c>
      <c r="C3" s="2" t="s">
        <v>427</v>
      </c>
      <c r="D3" s="2" t="s">
        <v>428</v>
      </c>
      <c r="E3" s="2" t="s">
        <v>429</v>
      </c>
      <c r="F3" s="2" t="s">
        <v>433</v>
      </c>
      <c r="G3" s="2" t="s">
        <v>434</v>
      </c>
      <c r="H3" s="2" t="s">
        <v>432</v>
      </c>
    </row>
    <row r="4" customFormat="false" ht="26.85" hidden="false" customHeight="false" outlineLevel="0" collapsed="false">
      <c r="A4" s="2" t="s">
        <v>425</v>
      </c>
      <c r="B4" s="2" t="s">
        <v>426</v>
      </c>
      <c r="C4" s="2" t="s">
        <v>427</v>
      </c>
      <c r="D4" s="2" t="s">
        <v>428</v>
      </c>
      <c r="E4" s="2" t="s">
        <v>429</v>
      </c>
      <c r="F4" s="2" t="s">
        <v>435</v>
      </c>
      <c r="G4" s="2" t="s">
        <v>436</v>
      </c>
      <c r="H4" s="2" t="s">
        <v>437</v>
      </c>
    </row>
    <row r="5" customFormat="false" ht="26.85" hidden="false" customHeight="false" outlineLevel="0" collapsed="false">
      <c r="A5" s="2" t="s">
        <v>425</v>
      </c>
      <c r="B5" s="2" t="s">
        <v>426</v>
      </c>
      <c r="C5" s="2" t="s">
        <v>427</v>
      </c>
      <c r="D5" s="2" t="s">
        <v>428</v>
      </c>
      <c r="E5" s="2" t="s">
        <v>429</v>
      </c>
      <c r="F5" s="2" t="s">
        <v>438</v>
      </c>
      <c r="G5" s="2" t="s">
        <v>439</v>
      </c>
      <c r="H5" s="2" t="s">
        <v>440</v>
      </c>
    </row>
    <row r="6" customFormat="false" ht="26.85" hidden="false" customHeight="false" outlineLevel="0" collapsed="false">
      <c r="A6" s="2" t="s">
        <v>441</v>
      </c>
      <c r="B6" s="2" t="s">
        <v>442</v>
      </c>
      <c r="C6" s="2" t="s">
        <v>428</v>
      </c>
      <c r="D6" s="2" t="s">
        <v>443</v>
      </c>
      <c r="E6" s="2" t="s">
        <v>444</v>
      </c>
      <c r="F6" s="2" t="s">
        <v>445</v>
      </c>
      <c r="G6" s="2" t="s">
        <v>446</v>
      </c>
      <c r="H6" s="2" t="s">
        <v>432</v>
      </c>
    </row>
    <row r="7" customFormat="false" ht="26.85" hidden="false" customHeight="false" outlineLevel="0" collapsed="false">
      <c r="A7" s="2" t="s">
        <v>441</v>
      </c>
      <c r="B7" s="2" t="s">
        <v>442</v>
      </c>
      <c r="C7" s="2" t="s">
        <v>428</v>
      </c>
      <c r="D7" s="2" t="s">
        <v>443</v>
      </c>
      <c r="E7" s="2" t="s">
        <v>444</v>
      </c>
      <c r="F7" s="2" t="s">
        <v>433</v>
      </c>
      <c r="G7" s="2" t="s">
        <v>447</v>
      </c>
      <c r="H7" s="2" t="s">
        <v>432</v>
      </c>
    </row>
    <row r="8" customFormat="false" ht="26.85" hidden="false" customHeight="false" outlineLevel="0" collapsed="false">
      <c r="A8" s="2" t="s">
        <v>441</v>
      </c>
      <c r="B8" s="2" t="s">
        <v>442</v>
      </c>
      <c r="C8" s="2" t="s">
        <v>428</v>
      </c>
      <c r="D8" s="2" t="s">
        <v>443</v>
      </c>
      <c r="E8" s="2" t="s">
        <v>444</v>
      </c>
      <c r="F8" s="2" t="s">
        <v>448</v>
      </c>
      <c r="G8" s="2" t="s">
        <v>449</v>
      </c>
      <c r="H8" s="2" t="s">
        <v>450</v>
      </c>
    </row>
    <row r="9" customFormat="false" ht="26.85" hidden="false" customHeight="false" outlineLevel="0" collapsed="false">
      <c r="A9" s="2" t="s">
        <v>441</v>
      </c>
      <c r="B9" s="2" t="s">
        <v>442</v>
      </c>
      <c r="C9" s="2" t="s">
        <v>428</v>
      </c>
      <c r="D9" s="2" t="s">
        <v>443</v>
      </c>
      <c r="E9" s="2" t="s">
        <v>444</v>
      </c>
      <c r="F9" s="2" t="s">
        <v>451</v>
      </c>
      <c r="G9" s="2" t="s">
        <v>452</v>
      </c>
      <c r="H9" s="2" t="s">
        <v>453</v>
      </c>
    </row>
    <row r="10" customFormat="false" ht="26.85" hidden="false" customHeight="false" outlineLevel="0" collapsed="false">
      <c r="A10" s="2" t="s">
        <v>454</v>
      </c>
      <c r="B10" s="2" t="s">
        <v>455</v>
      </c>
      <c r="C10" s="2" t="s">
        <v>456</v>
      </c>
      <c r="D10" s="2" t="s">
        <v>457</v>
      </c>
      <c r="E10" s="2" t="s">
        <v>458</v>
      </c>
      <c r="F10" s="2" t="s">
        <v>433</v>
      </c>
      <c r="G10" s="2" t="s">
        <v>459</v>
      </c>
      <c r="H10" s="2" t="s">
        <v>432</v>
      </c>
    </row>
    <row r="11" customFormat="false" ht="26.85" hidden="false" customHeight="false" outlineLevel="0" collapsed="false">
      <c r="A11" s="2" t="s">
        <v>454</v>
      </c>
      <c r="B11" s="2" t="s">
        <v>455</v>
      </c>
      <c r="C11" s="2" t="s">
        <v>456</v>
      </c>
      <c r="D11" s="2" t="s">
        <v>457</v>
      </c>
      <c r="E11" s="2" t="s">
        <v>458</v>
      </c>
      <c r="F11" s="2" t="s">
        <v>460</v>
      </c>
      <c r="G11" s="2" t="s">
        <v>461</v>
      </c>
      <c r="H11" s="2" t="s">
        <v>462</v>
      </c>
    </row>
    <row r="12" customFormat="false" ht="26.85" hidden="false" customHeight="false" outlineLevel="0" collapsed="false">
      <c r="A12" s="2" t="s">
        <v>454</v>
      </c>
      <c r="B12" s="2" t="s">
        <v>455</v>
      </c>
      <c r="C12" s="2" t="s">
        <v>456</v>
      </c>
      <c r="D12" s="2" t="s">
        <v>457</v>
      </c>
      <c r="E12" s="2" t="s">
        <v>458</v>
      </c>
      <c r="F12" s="2" t="s">
        <v>463</v>
      </c>
      <c r="G12" s="2" t="s">
        <v>464</v>
      </c>
      <c r="H12" s="2" t="s">
        <v>465</v>
      </c>
    </row>
    <row r="13" customFormat="false" ht="26.85" hidden="false" customHeight="false" outlineLevel="0" collapsed="false">
      <c r="A13" s="2" t="s">
        <v>454</v>
      </c>
      <c r="B13" s="2" t="s">
        <v>455</v>
      </c>
      <c r="C13" s="2" t="s">
        <v>456</v>
      </c>
      <c r="D13" s="2" t="s">
        <v>457</v>
      </c>
      <c r="E13" s="2" t="s">
        <v>458</v>
      </c>
      <c r="F13" s="2" t="s">
        <v>466</v>
      </c>
      <c r="G13" s="2" t="s">
        <v>467</v>
      </c>
      <c r="H13" s="2" t="s">
        <v>468</v>
      </c>
    </row>
    <row r="14" customFormat="false" ht="26.85" hidden="false" customHeight="false" outlineLevel="0" collapsed="false">
      <c r="A14" s="2" t="s">
        <v>469</v>
      </c>
      <c r="B14" s="2" t="s">
        <v>470</v>
      </c>
      <c r="C14" s="2" t="s">
        <v>471</v>
      </c>
      <c r="D14" s="2" t="s">
        <v>428</v>
      </c>
      <c r="E14" s="2" t="s">
        <v>472</v>
      </c>
      <c r="F14" s="2" t="s">
        <v>473</v>
      </c>
      <c r="G14" s="2" t="s">
        <v>474</v>
      </c>
      <c r="H14" s="2" t="s">
        <v>432</v>
      </c>
    </row>
    <row r="15" customFormat="false" ht="26.85" hidden="false" customHeight="false" outlineLevel="0" collapsed="false">
      <c r="A15" s="2" t="s">
        <v>469</v>
      </c>
      <c r="B15" s="2" t="s">
        <v>470</v>
      </c>
      <c r="C15" s="2" t="s">
        <v>471</v>
      </c>
      <c r="D15" s="2" t="s">
        <v>428</v>
      </c>
      <c r="E15" s="2" t="s">
        <v>472</v>
      </c>
      <c r="F15" s="2" t="s">
        <v>475</v>
      </c>
      <c r="G15" s="2" t="s">
        <v>476</v>
      </c>
      <c r="H15" s="2" t="s">
        <v>477</v>
      </c>
    </row>
    <row r="16" customFormat="false" ht="26.85" hidden="false" customHeight="false" outlineLevel="0" collapsed="false">
      <c r="A16" s="2" t="s">
        <v>469</v>
      </c>
      <c r="B16" s="2" t="s">
        <v>470</v>
      </c>
      <c r="C16" s="2" t="s">
        <v>471</v>
      </c>
      <c r="D16" s="2" t="s">
        <v>428</v>
      </c>
      <c r="E16" s="2" t="s">
        <v>472</v>
      </c>
      <c r="F16" s="2" t="s">
        <v>478</v>
      </c>
      <c r="G16" s="2" t="s">
        <v>479</v>
      </c>
      <c r="H16" s="2" t="s">
        <v>480</v>
      </c>
    </row>
    <row r="17" customFormat="false" ht="15" hidden="false" customHeight="false" outlineLevel="0" collapsed="false">
      <c r="A17" s="2" t="s">
        <v>469</v>
      </c>
      <c r="B17" s="2" t="s">
        <v>470</v>
      </c>
      <c r="C17" s="2" t="s">
        <v>471</v>
      </c>
      <c r="D17" s="2" t="s">
        <v>428</v>
      </c>
      <c r="E17" s="2" t="s">
        <v>472</v>
      </c>
      <c r="F17" s="2" t="s">
        <v>438</v>
      </c>
      <c r="G17" s="2" t="s">
        <v>481</v>
      </c>
      <c r="H17" s="2" t="s">
        <v>482</v>
      </c>
    </row>
    <row r="18" customFormat="false" ht="15" hidden="false" customHeight="false" outlineLevel="0" collapsed="false">
      <c r="A18" s="2" t="s">
        <v>483</v>
      </c>
      <c r="B18" s="2" t="s">
        <v>484</v>
      </c>
      <c r="C18" s="2" t="s">
        <v>485</v>
      </c>
      <c r="D18" s="2" t="s">
        <v>486</v>
      </c>
      <c r="E18" s="2" t="s">
        <v>487</v>
      </c>
      <c r="F18" s="2" t="s">
        <v>488</v>
      </c>
      <c r="G18" s="2" t="s">
        <v>489</v>
      </c>
      <c r="H18" s="2" t="s">
        <v>462</v>
      </c>
    </row>
    <row r="19" customFormat="false" ht="15" hidden="false" customHeight="false" outlineLevel="0" collapsed="false">
      <c r="A19" s="2" t="s">
        <v>483</v>
      </c>
      <c r="B19" s="2" t="s">
        <v>484</v>
      </c>
      <c r="C19" s="2" t="s">
        <v>485</v>
      </c>
      <c r="D19" s="2" t="s">
        <v>486</v>
      </c>
      <c r="E19" s="2" t="s">
        <v>487</v>
      </c>
      <c r="F19" s="2" t="s">
        <v>490</v>
      </c>
      <c r="G19" s="2" t="s">
        <v>491</v>
      </c>
      <c r="H19" s="2" t="s">
        <v>492</v>
      </c>
    </row>
    <row r="20" customFormat="false" ht="26.85" hidden="false" customHeight="false" outlineLevel="0" collapsed="false">
      <c r="A20" s="2" t="s">
        <v>493</v>
      </c>
      <c r="B20" s="2" t="s">
        <v>494</v>
      </c>
      <c r="C20" s="2" t="s">
        <v>495</v>
      </c>
      <c r="D20" s="2" t="s">
        <v>496</v>
      </c>
      <c r="E20" s="2" t="s">
        <v>497</v>
      </c>
      <c r="F20" s="2" t="s">
        <v>448</v>
      </c>
      <c r="G20" s="2" t="s">
        <v>498</v>
      </c>
      <c r="H20" s="2" t="s">
        <v>499</v>
      </c>
    </row>
    <row r="21" customFormat="false" ht="26.85" hidden="false" customHeight="false" outlineLevel="0" collapsed="false">
      <c r="A21" s="2" t="s">
        <v>493</v>
      </c>
      <c r="B21" s="2" t="s">
        <v>494</v>
      </c>
      <c r="C21" s="2" t="s">
        <v>495</v>
      </c>
      <c r="D21" s="2" t="s">
        <v>496</v>
      </c>
      <c r="E21" s="2" t="s">
        <v>497</v>
      </c>
      <c r="F21" s="2" t="s">
        <v>500</v>
      </c>
      <c r="G21" s="2" t="s">
        <v>501</v>
      </c>
      <c r="H21" s="2" t="s">
        <v>453</v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21" t="s">
        <v>417</v>
      </c>
      <c r="B23" s="21" t="s">
        <v>502</v>
      </c>
      <c r="C23" s="21" t="s">
        <v>503</v>
      </c>
      <c r="D23" s="21" t="s">
        <v>504</v>
      </c>
      <c r="E23" s="6"/>
      <c r="F23" s="6"/>
      <c r="G23" s="6"/>
      <c r="H23" s="6"/>
    </row>
    <row r="24" customFormat="false" ht="39.55" hidden="false" customHeight="false" outlineLevel="0" collapsed="false">
      <c r="A24" s="2" t="s">
        <v>505</v>
      </c>
      <c r="B24" s="2" t="s">
        <v>506</v>
      </c>
      <c r="C24" s="2" t="s">
        <v>507</v>
      </c>
      <c r="D24" s="2" t="s">
        <v>508</v>
      </c>
      <c r="E24" s="6"/>
      <c r="F24" s="6"/>
      <c r="G24" s="6"/>
      <c r="H24" s="6"/>
    </row>
    <row r="25" customFormat="false" ht="39.55" hidden="false" customHeight="false" outlineLevel="0" collapsed="false">
      <c r="A25" s="2" t="s">
        <v>509</v>
      </c>
      <c r="B25" s="2" t="s">
        <v>510</v>
      </c>
      <c r="C25" s="2" t="s">
        <v>511</v>
      </c>
      <c r="D25" s="2" t="s">
        <v>512</v>
      </c>
      <c r="E25" s="6"/>
      <c r="F25" s="6"/>
      <c r="G25" s="6"/>
      <c r="H25" s="6"/>
    </row>
    <row r="26" customFormat="false" ht="39.55" hidden="false" customHeight="false" outlineLevel="0" collapsed="false">
      <c r="A26" s="2" t="s">
        <v>513</v>
      </c>
      <c r="B26" s="2" t="s">
        <v>514</v>
      </c>
      <c r="C26" s="2" t="s">
        <v>515</v>
      </c>
      <c r="D26" s="2" t="s">
        <v>516</v>
      </c>
      <c r="E26" s="6"/>
      <c r="F26" s="6"/>
      <c r="G26" s="6"/>
      <c r="H26" s="6"/>
    </row>
    <row r="27" customFormat="false" ht="52.2" hidden="false" customHeight="false" outlineLevel="0" collapsed="false">
      <c r="A27" s="2" t="s">
        <v>517</v>
      </c>
      <c r="B27" s="2" t="s">
        <v>518</v>
      </c>
      <c r="C27" s="2" t="s">
        <v>519</v>
      </c>
      <c r="D27" s="2" t="s">
        <v>520</v>
      </c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12" t="s">
        <v>521</v>
      </c>
      <c r="B29" s="6"/>
      <c r="C29" s="6"/>
      <c r="D29" s="6"/>
      <c r="E29" s="6"/>
      <c r="F29" s="6"/>
      <c r="G29" s="6"/>
      <c r="H2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2026-10-28T00:50:07Z</dcterms:created>
  <dc:creator>openpyxl</dc:creator>
  <dc:description/>
  <dc:language>en-US</dc:language>
  <cp:lastModifiedBy/>
  <dcterms:modified xsi:type="dcterms:W3CDTF">2026-10-28T00:50:08Z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