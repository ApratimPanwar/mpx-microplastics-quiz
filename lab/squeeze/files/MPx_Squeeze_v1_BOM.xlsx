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" sheetId="1" state="visible" r:id="rId3"/>
    <sheet name="Suppliers" sheetId="2" state="visible" r:id="rId4"/>
    <sheet name="Seals" sheetId="3" state="visible" r:id="rId5"/>
    <sheet name="Flow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J2" authorId="0">
      <text>
        <r>
          <rPr>
            <sz val="10"/>
            <rFont val="Arial"/>
            <family val="2"/>
          </rPr>
          <t xml:space="preserve">Rough prototype estimates (one-off CNC in Bangalore, 316L at roughly ₹450–600/kg). Replace every yellow cell with RFQ quotes.</t>
        </r>
      </text>
    </comment>
    <comment ref="J5" authorId="0">
      <text>
        <r>
          <rPr>
            <sz val="10"/>
            <rFont val="Arial"/>
            <family val="2"/>
          </rPr>
          <t xml:space="preserve">IndiaMART listings for sintered SS filters/tubes range about ₹375–3,000 per piece; custom size quote needed.</t>
        </r>
      </text>
    </comment>
  </commentList>
</comments>
</file>

<file path=xl/sharedStrings.xml><?xml version="1.0" encoding="utf-8"?>
<sst xmlns="http://schemas.openxmlformats.org/spreadsheetml/2006/main" count="267" uniqueCount="221">
  <si>
    <t xml:space="preserve">Item</t>
  </si>
  <si>
    <t xml:space="preserve">Part no.</t>
  </si>
  <si>
    <t xml:space="preserve">Name</t>
  </si>
  <si>
    <t xml:space="preserve">Material / spec</t>
  </si>
  <si>
    <t xml:space="preserve">Stock / source form</t>
  </si>
  <si>
    <t xml:space="preserve">Process</t>
  </si>
  <si>
    <t xml:space="preserve">Make/Buy</t>
  </si>
  <si>
    <t xml:space="preserve">Qty per kit</t>
  </si>
  <si>
    <t xml:space="preserve">Mass g (CAD)</t>
  </si>
  <si>
    <t xml:space="preserve">Est. unit cost ₹ (proto)</t>
  </si>
  <si>
    <t xml:space="preserve">Line cost ₹</t>
  </si>
  <si>
    <t xml:space="preserve">Supplier candidates</t>
  </si>
  <si>
    <t xml:space="preserve">Notes</t>
  </si>
  <si>
    <t xml:space="preserve">MPx-SQ-001</t>
  </si>
  <si>
    <t xml:space="preserve">Inlet coupler (bottle side)</t>
  </si>
  <si>
    <t xml:space="preserve">316L; 28 PCO 1881 int. + M32×1.0-6H int.</t>
  </si>
  <si>
    <t xml:space="preserve">Ø38 316L bar</t>
  </si>
  <si>
    <t xml:space="preserve">CNC turn, single-point PCO thread, knurl</t>
  </si>
  <si>
    <t xml:space="preserve">Make</t>
  </si>
  <si>
    <t xml:space="preserve">Peenya CNC job shops (Bangalore)</t>
  </si>
  <si>
    <t xml:space="preserve">Measure bottle thread starts before cutting (sheet 3)</t>
  </si>
  <si>
    <t xml:space="preserve">MPx-SQ-002</t>
  </si>
  <si>
    <t xml:space="preserve">Body</t>
  </si>
  <si>
    <t xml:space="preserve">316L; M32×1.0-6g both ends; wall 1.0</t>
  </si>
  <si>
    <t xml:space="preserve">Ø35 316L bar (proto) / 30×1.0 tube + ferrules (prod.)</t>
  </si>
  <si>
    <t xml:space="preserve">CNC turn + bore, ream Ø28 H9</t>
  </si>
  <si>
    <t xml:space="preserve">Peenya CNC job shops</t>
  </si>
  <si>
    <t xml:space="preserve">Thin wall: steady rest, light cuts</t>
  </si>
  <si>
    <t xml:space="preserve">MPx-SQ-003</t>
  </si>
  <si>
    <t xml:space="preserve">Outlet head + spout stem</t>
  </si>
  <si>
    <t xml:space="preserve">316L; M32×1 int., M14×1.5 int., M14×1 ext.</t>
  </si>
  <si>
    <t xml:space="preserve">CNC turn, mill flats, drill cross-ports</t>
  </si>
  <si>
    <t xml:space="preserve">MPx-SQ-004</t>
  </si>
  <si>
    <t xml:space="preserve">Filter element, sintered</t>
  </si>
  <si>
    <t xml:space="preserve">Sintered 316L tube Ø20×2.0, closed end, grade 0.2</t>
  </si>
  <si>
    <t xml:space="preserve">Custom sintered tube</t>
  </si>
  <si>
    <t xml:space="preserve">Sinter (supplier)</t>
  </si>
  <si>
    <t xml:space="preserve">Buy</t>
  </si>
  <si>
    <t xml:space="preserve">Britomatics (Navi Mumbai); Aris Filtration (Ahmedabad); Porvair India (Ambarnath); Hengko (CN, MOQ 100); Mott (US)</t>
  </si>
  <si>
    <t xml:space="preserve">Ask for liquid absolute rating + bubble point per piece</t>
  </si>
  <si>
    <t xml:space="preserve">MPx-SQ-005</t>
  </si>
  <si>
    <t xml:space="preserve">Element base</t>
  </si>
  <si>
    <t xml:space="preserve">316L; M14×1.5-6g; welded to item 4</t>
  </si>
  <si>
    <t xml:space="preserve">Ø25 316L bar</t>
  </si>
  <si>
    <t xml:space="preserve">CNC turn; TIG/laser weld to item 4</t>
  </si>
  <si>
    <t xml:space="preserve">CNC shop + weld shop (or the sintering supplier)</t>
  </si>
  <si>
    <t xml:space="preserve">Weld may be done by the element supplier</t>
  </si>
  <si>
    <t xml:space="preserve">MPx-SQ-006</t>
  </si>
  <si>
    <t xml:space="preserve">Push-pull sleeve</t>
  </si>
  <si>
    <t xml:space="preserve">316L</t>
  </si>
  <si>
    <t xml:space="preserve">Ø14 316L bar</t>
  </si>
  <si>
    <t xml:space="preserve">CNC turn</t>
  </si>
  <si>
    <t xml:space="preserve">MPx-SQ-007</t>
  </si>
  <si>
    <t xml:space="preserve">Dust cap</t>
  </si>
  <si>
    <t xml:space="preserve">Ø16 316L bar</t>
  </si>
  <si>
    <t xml:space="preserve">MPx-SQ-008</t>
  </si>
  <si>
    <t xml:space="preserve">Pre-screen disc</t>
  </si>
  <si>
    <t xml:space="preserve">316L twilled Dutch weave 40 µm, Ø20</t>
  </si>
  <si>
    <t xml:space="preserve">Wire cloth sheet</t>
  </si>
  <si>
    <t xml:space="preserve">Punch / laser cut</t>
  </si>
  <si>
    <t xml:space="preserve">SS wire-mesh traders (Bangalore/Mumbai)</t>
  </si>
  <si>
    <t xml:space="preserve">MPx-SQ-009</t>
  </si>
  <si>
    <t xml:space="preserve">Screen retaining ring</t>
  </si>
  <si>
    <t xml:space="preserve">316L Ø20.05/Ø14 × 0.7</t>
  </si>
  <si>
    <t xml:space="preserve">316L sheet 0.7</t>
  </si>
  <si>
    <t xml:space="preserve">Laser cut / punch</t>
  </si>
  <si>
    <t xml:space="preserve">Laser-cutting shop</t>
  </si>
  <si>
    <t xml:space="preserve">MPx-SQ-010</t>
  </si>
  <si>
    <t xml:space="preserve">Tap adapter (M22 female)</t>
  </si>
  <si>
    <t xml:space="preserve">316L; 28 PCO 1881 male neck + M22×1 int.</t>
  </si>
  <si>
    <t xml:space="preserve">Ø35 316L bar</t>
  </si>
  <si>
    <t xml:space="preserve">Neck lip Ra ≤ 0.8 to seal on S1</t>
  </si>
  <si>
    <t xml:space="preserve">MPx-SQ-011</t>
  </si>
  <si>
    <t xml:space="preserve">M24 → M22 tap adapter</t>
  </si>
  <si>
    <t xml:space="preserve">316L; M24×1 male / M22×1 male</t>
  </si>
  <si>
    <t xml:space="preserve">Hex 27 316L bar</t>
  </si>
  <si>
    <t xml:space="preserve">CNC shop, or buy a brass aerator adapter for trials</t>
  </si>
  <si>
    <t xml:space="preserve">MPx-SQ-012</t>
  </si>
  <si>
    <t xml:space="preserve">Universal tap ferrule + silicone sleeve</t>
  </si>
  <si>
    <t xml:space="preserve">316L ferrule M22×1 + silicone cone + 316L worm clamp</t>
  </si>
  <si>
    <t xml:space="preserve">Ø25 bar + bought sleeve/clamp</t>
  </si>
  <si>
    <t xml:space="preserve">CNC turn; buy sleeve + clamp</t>
  </si>
  <si>
    <t xml:space="preserve">CNC shop; silicone sleeve from a food-grade silicone moulder</t>
  </si>
  <si>
    <t xml:space="preserve">MPx-SQ-013</t>
  </si>
  <si>
    <t xml:space="preserve">Backflush coupler</t>
  </si>
  <si>
    <t xml:space="preserve">316L; 28 PCO 1881 int. + M14×1 int.</t>
  </si>
  <si>
    <t xml:space="preserve">S</t>
  </si>
  <si>
    <t xml:space="preserve">MPx-SQ-020</t>
  </si>
  <si>
    <t xml:space="preserve">Seal kit S1–S8</t>
  </si>
  <si>
    <t xml:space="preserve">Silicone 60 ShA, FDA 21 CFR 177.2600</t>
  </si>
  <si>
    <t xml:space="preserve">O-rings + cut gaskets</t>
  </si>
  <si>
    <t xml:space="preserve">Buy / cut from sheet</t>
  </si>
  <si>
    <t xml:space="preserve">AMI Polymer (India) or food-grade O-ring stockists</t>
  </si>
  <si>
    <t xml:space="preserve">See Seals tab</t>
  </si>
  <si>
    <t xml:space="preserve">F</t>
  </si>
  <si>
    <t xml:space="preserve">—</t>
  </si>
  <si>
    <t xml:space="preserve">Electropolish + passivation (lot)</t>
  </si>
  <si>
    <t xml:space="preserve">ASTM A967</t>
  </si>
  <si>
    <t xml:space="preserve">Subcontract</t>
  </si>
  <si>
    <t xml:space="preserve">SS finishing shops (Peenya)</t>
  </si>
  <si>
    <t xml:space="preserve">Per batch of parts</t>
  </si>
  <si>
    <t xml:space="preserve">Core unit mass, items 1–9 + seals (g)</t>
  </si>
  <si>
    <t xml:space="preserve">Accessories mass, items 10–13 (g)</t>
  </si>
  <si>
    <t xml:space="preserve">Prototype kit cost, all lines (₹)</t>
  </si>
  <si>
    <t xml:space="preserve">Number of prototype kits</t>
  </si>
  <si>
    <t xml:space="preserve">Prototype budget needed (₹)</t>
  </si>
  <si>
    <t xml:space="preserve">PD-298 department prototyping cap (₹)</t>
  </si>
  <si>
    <t xml:space="preserve">Within cap?</t>
  </si>
  <si>
    <t xml:space="preserve">Legend: yellow cells with blue text are estimates or choices to edit; everything else is calculated or from the drawings / CAD.</t>
  </si>
  <si>
    <t xml:space="preserve">Supplier</t>
  </si>
  <si>
    <t xml:space="preserve">Location</t>
  </si>
  <si>
    <t xml:space="preserve">What they list</t>
  </si>
  <si>
    <t xml:space="preserve">Ask in the RFQ</t>
  </si>
  <si>
    <t xml:space="preserve">Source</t>
  </si>
  <si>
    <t xml:space="preserve">4</t>
  </si>
  <si>
    <t xml:space="preserve">Britomatics Engineers Pvt Ltd</t>
  </si>
  <si>
    <t xml:space="preserve">Navi Mumbai</t>
  </si>
  <si>
    <t xml:space="preserve">SS304/SS316 sintered metal filters, 0.5–25 µm, from ~₹375</t>
  </si>
  <si>
    <t xml:space="preserve">Custom tube Ø20×2.0×85.5 closed end, 316L, finest grade; liquid absolute rating; bubble point; welded base</t>
  </si>
  <si>
    <t xml:space="preserve">https://m.indiamart.com/city/thane/sintered-metal-filters.html</t>
  </si>
  <si>
    <t xml:space="preserve">Aris Filtration</t>
  </si>
  <si>
    <t xml:space="preserve">Ahmedabad</t>
  </si>
  <si>
    <t xml:space="preserve">316L cylindrical sintered filter tubes, ~₹3,000</t>
  </si>
  <si>
    <t xml:space="preserve">Same as above; qty 5–10 for prototypes</t>
  </si>
  <si>
    <t xml:space="preserve">https://m.indiamart.com/impcat/filter-tubes.html</t>
  </si>
  <si>
    <t xml:space="preserve">Porvair Filtration India</t>
  </si>
  <si>
    <t xml:space="preserve">Ambarnath</t>
  </si>
  <si>
    <t xml:space="preserve">Porous metal media and elements</t>
  </si>
  <si>
    <t xml:space="preserve">Sinter-bonded closed-end tubes; liquid rating ≤ 1.5 µm</t>
  </si>
  <si>
    <t xml:space="preserve">Hengko</t>
  </si>
  <si>
    <t xml:space="preserve">China</t>
  </si>
  <si>
    <t xml:space="preserve">Sintered 316L tubes 2–90 µm; MOQ 100; 20–35 days</t>
  </si>
  <si>
    <t xml:space="preserve">Finest grade available; liquid absolute rating test data; sample pieces</t>
  </si>
  <si>
    <t xml:space="preserve">https://hengko.com/sintered-metal-powder-porous-316l-ss-stainless-steel-filter-tube-2-um-5-7-10-15-20-30-40-50-60-70-90-micron-products</t>
  </si>
  <si>
    <t xml:space="preserve">Mott Corporation</t>
  </si>
  <si>
    <t xml:space="preserve">USA (via distributor)</t>
  </si>
  <si>
    <t xml:space="preserve">Media grades 0.2–100 in 316L; liquid ratings 1.4–35 µm absolute for grades 0.2–20</t>
  </si>
  <si>
    <t xml:space="preserve">Grade 0.2 and 0.5 tube samples with KL data</t>
  </si>
  <si>
    <t xml:space="preserve">https://www.mottcorp.com/blog/filtration-advancements-using-sintered-porous-metal-filters/</t>
  </si>
  <si>
    <t xml:space="preserve">1–3, 5–7, 10–13</t>
  </si>
  <si>
    <t xml:space="preserve">CNC turning job shops</t>
  </si>
  <si>
    <t xml:space="preserve">Peenya, Bangalore</t>
  </si>
  <si>
    <t xml:space="preserve">316L turning, threading, knurling</t>
  </si>
  <si>
    <t xml:space="preserve">Drawing set sheets 2–6; 3 kits; electropolish + passivation</t>
  </si>
  <si>
    <t xml:space="preserve">local</t>
  </si>
  <si>
    <t xml:space="preserve">S1–S8</t>
  </si>
  <si>
    <t xml:space="preserve">AMI Polymer Pvt Ltd (Imaseal) or similar</t>
  </si>
  <si>
    <t xml:space="preserve">India</t>
  </si>
  <si>
    <t xml:space="preserve">O-rings incl. silicone, food grade</t>
  </si>
  <si>
    <t xml:space="preserve">FDA 21 CFR 177.2600 silicone, sizes on Seals tab, certificate of compliance</t>
  </si>
  <si>
    <t xml:space="preserve">https://www.directindustry.com/prod/ami-polymer-pvt-ltd/product-238681-2835732.html</t>
  </si>
  <si>
    <t xml:space="preserve">ID</t>
  </si>
  <si>
    <t xml:space="preserve">Type</t>
  </si>
  <si>
    <t xml:space="preserve">Size (ID × CS or OD/ID × t), mm</t>
  </si>
  <si>
    <t xml:space="preserve">Qty</t>
  </si>
  <si>
    <t xml:space="preserve">Side of filter</t>
  </si>
  <si>
    <t xml:space="preserve">S1</t>
  </si>
  <si>
    <t xml:space="preserve">flat gasket</t>
  </si>
  <si>
    <t xml:space="preserve">bottle lip in P01; P13</t>
  </si>
  <si>
    <t xml:space="preserve">Ø25.5/Ø19 × 1.5</t>
  </si>
  <si>
    <t xml:space="preserve">dirty</t>
  </si>
  <si>
    <t xml:space="preserve">S2</t>
  </si>
  <si>
    <t xml:space="preserve">O-ring</t>
  </si>
  <si>
    <t xml:space="preserve">body ends to P01 web and P03 web</t>
  </si>
  <si>
    <t xml:space="preserve">26 × 1.5</t>
  </si>
  <si>
    <t xml:space="preserve">S3</t>
  </si>
  <si>
    <t xml:space="preserve">element base shoulder to P03 web</t>
  </si>
  <si>
    <t xml:space="preserve">14 × 2.0</t>
  </si>
  <si>
    <t xml:space="preserve">clean</t>
  </si>
  <si>
    <t xml:space="preserve">S4</t>
  </si>
  <si>
    <t xml:space="preserve">spout stem, sleeve seal</t>
  </si>
  <si>
    <t xml:space="preserve">7 × 1.5</t>
  </si>
  <si>
    <t xml:space="preserve">S8</t>
  </si>
  <si>
    <t xml:space="preserve">plug pin in sleeve outlet</t>
  </si>
  <si>
    <t xml:space="preserve">2.5 × 1.0</t>
  </si>
  <si>
    <t xml:space="preserve">S5</t>
  </si>
  <si>
    <t xml:space="preserve">dust cap retention</t>
  </si>
  <si>
    <t xml:space="preserve">10 × 1.5</t>
  </si>
  <si>
    <t xml:space="preserve">outside</t>
  </si>
  <si>
    <t xml:space="preserve">S6</t>
  </si>
  <si>
    <t xml:space="preserve">flat washer</t>
  </si>
  <si>
    <t xml:space="preserve">tap face in P10; P12 ferrule</t>
  </si>
  <si>
    <t xml:space="preserve">Ø22/Ø16 × 2</t>
  </si>
  <si>
    <t xml:space="preserve">S7</t>
  </si>
  <si>
    <t xml:space="preserve">P13 on head face</t>
  </si>
  <si>
    <t xml:space="preserve">Ø14/Ø8 × 1.5</t>
  </si>
  <si>
    <t xml:space="preserve">clean (backflush only)</t>
  </si>
  <si>
    <t xml:space="preserve">All silicone 60 ShA, FDA 21 CFR 177.2600, post-cured, unpigmented (team decision: silicone at every joint).</t>
  </si>
  <si>
    <t xml:space="preserve">Input / result</t>
  </si>
  <si>
    <t xml:space="preserve">Value</t>
  </si>
  <si>
    <t xml:space="preserve">Unit</t>
  </si>
  <si>
    <t xml:space="preserve">Note</t>
  </si>
  <si>
    <t xml:space="preserve">Mott liquid permeability coefficient KL</t>
  </si>
  <si>
    <t xml:space="preserve">Grade 0.2 = 26; grade 0.5 = 8.0 (Mott 316L pressed-disc data sheet)</t>
  </si>
  <si>
    <t xml:space="preserve">Wall thickness</t>
  </si>
  <si>
    <t xml:space="preserve">mm</t>
  </si>
  <si>
    <t xml:space="preserve">Element wall</t>
  </si>
  <si>
    <t xml:space="preserve">Water viscosity</t>
  </si>
  <si>
    <t xml:space="preserve">cP</t>
  </si>
  <si>
    <t xml:space="preserve">25 °C</t>
  </si>
  <si>
    <t xml:space="preserve">Element OD</t>
  </si>
  <si>
    <t xml:space="preserve">Sintered length</t>
  </si>
  <si>
    <t xml:space="preserve">Plus the closed end disc</t>
  </si>
  <si>
    <t xml:space="preserve">Driving pressure</t>
  </si>
  <si>
    <t xml:space="preserve">bar</t>
  </si>
  <si>
    <t xml:space="preserve">Squeeze ≈ 0.2–0.4 bar; tap ≈ 1–2 bar (to be measured)</t>
  </si>
  <si>
    <t xml:space="preserve">Fouling factor</t>
  </si>
  <si>
    <t xml:space="preserve">×</t>
  </si>
  <si>
    <t xml:space="preserve">1 = clean media; raise as the cake builds</t>
  </si>
  <si>
    <t xml:space="preserve">Permeance</t>
  </si>
  <si>
    <t xml:space="preserve">L/(m²·h·bar)</t>
  </si>
  <si>
    <t xml:space="preserve">Mott: ΔP[psi] = KL·flux[gpm/ft²]·µ[cP]·t[in]</t>
  </si>
  <si>
    <t xml:space="preserve">Filter area</t>
  </si>
  <si>
    <t xml:space="preserve">m²</t>
  </si>
  <si>
    <t xml:space="preserve">Side + closed end</t>
  </si>
  <si>
    <t xml:space="preserve">Clean-media flow</t>
  </si>
  <si>
    <t xml:space="preserve">L/min</t>
  </si>
  <si>
    <t xml:space="preserve">First pass; CFD and bench tests replace this</t>
  </si>
  <si>
    <t xml:space="preserve">Time to filter 500 mL</t>
  </si>
  <si>
    <t xml:space="preserve">s</t>
  </si>
  <si>
    <t xml:space="preserve">Time to filter 1 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</si>
</sst>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\₹#,##0"/>
    <numFmt numFmtId="167" formatCode="#,##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30"/>
    <col collapsed="false" customWidth="true" hidden="false" outlineLevel="0" max="4" min="4" style="0" width="40"/>
    <col collapsed="false" customWidth="true" hidden="false" outlineLevel="0" max="5" min="5" style="0" width="28"/>
    <col collapsed="false" customWidth="true" hidden="false" outlineLevel="0" max="6" min="6" style="0" width="30"/>
    <col collapsed="false" customWidth="true" hidden="false" outlineLevel="0" max="8" min="7" style="0" width="9"/>
    <col collapsed="false" customWidth="true" hidden="false" outlineLevel="0" max="9" min="9" style="0" width="10"/>
    <col collapsed="false" customWidth="true" hidden="false" outlineLevel="0" max="10" min="10" style="0" width="13"/>
    <col collapsed="false" customWidth="true" hidden="false" outlineLevel="0" max="11" min="11" style="0" width="12"/>
    <col collapsed="false" customWidth="true" hidden="false" outlineLevel="0" max="12" min="12" style="0" width="40"/>
    <col collapsed="false" customWidth="true" hidden="false" outlineLevel="0" max="13" min="13" style="0" width="44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26.85" hidden="false" customHeight="false" outlineLevel="0" collapsed="false">
      <c r="A2" s="2" t="n">
        <v>1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n">
        <v>1</v>
      </c>
      <c r="I2" s="3" t="n">
        <v>64.4</v>
      </c>
      <c r="J2" s="4" t="n">
        <v>900</v>
      </c>
      <c r="K2" s="5" t="n">
        <f aca="false">H2*J2</f>
        <v>900</v>
      </c>
      <c r="L2" s="2" t="s">
        <v>19</v>
      </c>
      <c r="M2" s="2" t="s">
        <v>20</v>
      </c>
    </row>
    <row r="3" customFormat="false" ht="26.85" hidden="false" customHeight="false" outlineLevel="0" collapsed="false">
      <c r="A3" s="2" t="n">
        <v>2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18</v>
      </c>
      <c r="H3" s="2" t="n">
        <v>1</v>
      </c>
      <c r="I3" s="3" t="n">
        <v>86.9</v>
      </c>
      <c r="J3" s="4" t="n">
        <v>1200</v>
      </c>
      <c r="K3" s="5" t="n">
        <f aca="false">H3*J3</f>
        <v>1200</v>
      </c>
      <c r="L3" s="2" t="s">
        <v>26</v>
      </c>
      <c r="M3" s="2" t="s">
        <v>27</v>
      </c>
    </row>
    <row r="4" customFormat="false" ht="26.85" hidden="false" customHeight="false" outlineLevel="0" collapsed="false">
      <c r="A4" s="2" t="n">
        <v>3</v>
      </c>
      <c r="B4" s="2" t="s">
        <v>28</v>
      </c>
      <c r="C4" s="2" t="s">
        <v>29</v>
      </c>
      <c r="D4" s="2" t="s">
        <v>30</v>
      </c>
      <c r="E4" s="2" t="s">
        <v>16</v>
      </c>
      <c r="F4" s="2" t="s">
        <v>31</v>
      </c>
      <c r="G4" s="2" t="s">
        <v>18</v>
      </c>
      <c r="H4" s="2" t="n">
        <v>1</v>
      </c>
      <c r="I4" s="3" t="n">
        <v>75.3</v>
      </c>
      <c r="J4" s="4" t="n">
        <v>1100</v>
      </c>
      <c r="K4" s="5" t="n">
        <f aca="false">H4*J4</f>
        <v>1100</v>
      </c>
      <c r="L4" s="2" t="s">
        <v>26</v>
      </c>
      <c r="M4" s="2"/>
    </row>
    <row r="5" customFormat="false" ht="39.55" hidden="false" customHeight="false" outlineLevel="0" collapsed="false">
      <c r="A5" s="2" t="n">
        <v>4</v>
      </c>
      <c r="B5" s="2" t="s">
        <v>32</v>
      </c>
      <c r="C5" s="2" t="s">
        <v>33</v>
      </c>
      <c r="D5" s="2" t="s">
        <v>34</v>
      </c>
      <c r="E5" s="2" t="s">
        <v>35</v>
      </c>
      <c r="F5" s="2" t="s">
        <v>36</v>
      </c>
      <c r="G5" s="2" t="s">
        <v>37</v>
      </c>
      <c r="H5" s="2" t="n">
        <v>1</v>
      </c>
      <c r="I5" s="3" t="n">
        <v>50</v>
      </c>
      <c r="J5" s="4" t="n">
        <v>1500</v>
      </c>
      <c r="K5" s="5" t="n">
        <f aca="false">H5*J5</f>
        <v>1500</v>
      </c>
      <c r="L5" s="2" t="s">
        <v>38</v>
      </c>
      <c r="M5" s="2" t="s">
        <v>39</v>
      </c>
    </row>
    <row r="6" customFormat="false" ht="26.85" hidden="false" customHeight="false" outlineLevel="0" collapsed="false">
      <c r="A6" s="2" t="n">
        <v>5</v>
      </c>
      <c r="B6" s="2" t="s">
        <v>40</v>
      </c>
      <c r="C6" s="2" t="s">
        <v>41</v>
      </c>
      <c r="D6" s="2" t="s">
        <v>42</v>
      </c>
      <c r="E6" s="2" t="s">
        <v>43</v>
      </c>
      <c r="F6" s="2" t="s">
        <v>44</v>
      </c>
      <c r="G6" s="2" t="s">
        <v>18</v>
      </c>
      <c r="H6" s="2" t="n">
        <v>1</v>
      </c>
      <c r="I6" s="3" t="n">
        <v>18.1</v>
      </c>
      <c r="J6" s="4" t="n">
        <v>500</v>
      </c>
      <c r="K6" s="5" t="n">
        <f aca="false">H6*J6</f>
        <v>500</v>
      </c>
      <c r="L6" s="2" t="s">
        <v>45</v>
      </c>
      <c r="M6" s="2" t="s">
        <v>46</v>
      </c>
    </row>
    <row r="7" customFormat="false" ht="26.85" hidden="false" customHeight="false" outlineLevel="0" collapsed="false">
      <c r="A7" s="2" t="n">
        <v>6</v>
      </c>
      <c r="B7" s="2" t="s">
        <v>47</v>
      </c>
      <c r="C7" s="2" t="s">
        <v>48</v>
      </c>
      <c r="D7" s="2" t="s">
        <v>49</v>
      </c>
      <c r="E7" s="2" t="s">
        <v>50</v>
      </c>
      <c r="F7" s="2" t="s">
        <v>51</v>
      </c>
      <c r="G7" s="2" t="s">
        <v>18</v>
      </c>
      <c r="H7" s="2" t="n">
        <v>1</v>
      </c>
      <c r="I7" s="3" t="n">
        <v>9.5</v>
      </c>
      <c r="J7" s="4" t="n">
        <v>300</v>
      </c>
      <c r="K7" s="5" t="n">
        <f aca="false">H7*J7</f>
        <v>300</v>
      </c>
      <c r="L7" s="2" t="s">
        <v>26</v>
      </c>
      <c r="M7" s="2"/>
    </row>
    <row r="8" customFormat="false" ht="26.85" hidden="false" customHeight="false" outlineLevel="0" collapsed="false">
      <c r="A8" s="2" t="n">
        <v>7</v>
      </c>
      <c r="B8" s="2" t="s">
        <v>52</v>
      </c>
      <c r="C8" s="2" t="s">
        <v>53</v>
      </c>
      <c r="D8" s="2" t="s">
        <v>49</v>
      </c>
      <c r="E8" s="2" t="s">
        <v>54</v>
      </c>
      <c r="F8" s="2" t="s">
        <v>51</v>
      </c>
      <c r="G8" s="2" t="s">
        <v>18</v>
      </c>
      <c r="H8" s="2" t="n">
        <v>1</v>
      </c>
      <c r="I8" s="3" t="n">
        <v>7.8</v>
      </c>
      <c r="J8" s="4" t="n">
        <v>250</v>
      </c>
      <c r="K8" s="5" t="n">
        <f aca="false">H8*J8</f>
        <v>250</v>
      </c>
      <c r="L8" s="2" t="s">
        <v>26</v>
      </c>
      <c r="M8" s="2"/>
    </row>
    <row r="9" customFormat="false" ht="26.85" hidden="false" customHeight="false" outlineLevel="0" collapsed="false">
      <c r="A9" s="2" t="n">
        <v>8</v>
      </c>
      <c r="B9" s="2" t="s">
        <v>55</v>
      </c>
      <c r="C9" s="2" t="s">
        <v>56</v>
      </c>
      <c r="D9" s="2" t="s">
        <v>57</v>
      </c>
      <c r="E9" s="2" t="s">
        <v>58</v>
      </c>
      <c r="F9" s="2" t="s">
        <v>59</v>
      </c>
      <c r="G9" s="2" t="s">
        <v>37</v>
      </c>
      <c r="H9" s="2" t="n">
        <v>1</v>
      </c>
      <c r="I9" s="3" t="n">
        <v>0.1</v>
      </c>
      <c r="J9" s="4" t="n">
        <v>80</v>
      </c>
      <c r="K9" s="5" t="n">
        <f aca="false">H9*J9</f>
        <v>80</v>
      </c>
      <c r="L9" s="2" t="s">
        <v>60</v>
      </c>
      <c r="M9" s="2"/>
    </row>
    <row r="10" customFormat="false" ht="26.85" hidden="false" customHeight="false" outlineLevel="0" collapsed="false">
      <c r="A10" s="2" t="n">
        <v>9</v>
      </c>
      <c r="B10" s="2" t="s">
        <v>61</v>
      </c>
      <c r="C10" s="2" t="s">
        <v>62</v>
      </c>
      <c r="D10" s="2" t="s">
        <v>63</v>
      </c>
      <c r="E10" s="2" t="s">
        <v>64</v>
      </c>
      <c r="F10" s="2" t="s">
        <v>65</v>
      </c>
      <c r="G10" s="2" t="s">
        <v>18</v>
      </c>
      <c r="H10" s="2" t="n">
        <v>1</v>
      </c>
      <c r="I10" s="3" t="n">
        <v>0.9</v>
      </c>
      <c r="J10" s="4" t="n">
        <v>60</v>
      </c>
      <c r="K10" s="5" t="n">
        <f aca="false">H10*J10</f>
        <v>60</v>
      </c>
      <c r="L10" s="2" t="s">
        <v>66</v>
      </c>
      <c r="M10" s="2"/>
    </row>
    <row r="11" customFormat="false" ht="26.85" hidden="false" customHeight="false" outlineLevel="0" collapsed="false">
      <c r="A11" s="2" t="n">
        <v>10</v>
      </c>
      <c r="B11" s="2" t="s">
        <v>67</v>
      </c>
      <c r="C11" s="2" t="s">
        <v>68</v>
      </c>
      <c r="D11" s="2" t="s">
        <v>69</v>
      </c>
      <c r="E11" s="2" t="s">
        <v>70</v>
      </c>
      <c r="F11" s="2" t="s">
        <v>51</v>
      </c>
      <c r="G11" s="2" t="s">
        <v>18</v>
      </c>
      <c r="H11" s="2" t="n">
        <v>1</v>
      </c>
      <c r="I11" s="3" t="n">
        <v>70.8</v>
      </c>
      <c r="J11" s="4" t="n">
        <v>800</v>
      </c>
      <c r="K11" s="5" t="n">
        <f aca="false">H11*J11</f>
        <v>800</v>
      </c>
      <c r="L11" s="2" t="s">
        <v>26</v>
      </c>
      <c r="M11" s="2" t="s">
        <v>71</v>
      </c>
    </row>
    <row r="12" customFormat="false" ht="26.85" hidden="false" customHeight="false" outlineLevel="0" collapsed="false">
      <c r="A12" s="2" t="n">
        <v>11</v>
      </c>
      <c r="B12" s="2" t="s">
        <v>72</v>
      </c>
      <c r="C12" s="2" t="s">
        <v>73</v>
      </c>
      <c r="D12" s="2" t="s">
        <v>74</v>
      </c>
      <c r="E12" s="2" t="s">
        <v>75</v>
      </c>
      <c r="F12" s="2" t="s">
        <v>51</v>
      </c>
      <c r="G12" s="2" t="s">
        <v>18</v>
      </c>
      <c r="H12" s="2" t="n">
        <v>1</v>
      </c>
      <c r="I12" s="3" t="n">
        <v>36.1</v>
      </c>
      <c r="J12" s="4" t="n">
        <v>400</v>
      </c>
      <c r="K12" s="5" t="n">
        <f aca="false">H12*J12</f>
        <v>400</v>
      </c>
      <c r="L12" s="2" t="s">
        <v>76</v>
      </c>
      <c r="M12" s="2"/>
    </row>
    <row r="13" customFormat="false" ht="26.85" hidden="false" customHeight="false" outlineLevel="0" collapsed="false">
      <c r="A13" s="2" t="n">
        <v>12</v>
      </c>
      <c r="B13" s="2" t="s">
        <v>77</v>
      </c>
      <c r="C13" s="2" t="s">
        <v>78</v>
      </c>
      <c r="D13" s="2" t="s">
        <v>79</v>
      </c>
      <c r="E13" s="2" t="s">
        <v>80</v>
      </c>
      <c r="F13" s="2" t="s">
        <v>81</v>
      </c>
      <c r="G13" s="2" t="s">
        <v>6</v>
      </c>
      <c r="H13" s="2" t="n">
        <v>1</v>
      </c>
      <c r="I13" s="3" t="n">
        <v>40.5</v>
      </c>
      <c r="J13" s="4" t="n">
        <v>450</v>
      </c>
      <c r="K13" s="5" t="n">
        <f aca="false">H13*J13</f>
        <v>450</v>
      </c>
      <c r="L13" s="2" t="s">
        <v>82</v>
      </c>
      <c r="M13" s="2"/>
    </row>
    <row r="14" customFormat="false" ht="26.85" hidden="false" customHeight="false" outlineLevel="0" collapsed="false">
      <c r="A14" s="2" t="n">
        <v>13</v>
      </c>
      <c r="B14" s="2" t="s">
        <v>83</v>
      </c>
      <c r="C14" s="2" t="s">
        <v>84</v>
      </c>
      <c r="D14" s="2" t="s">
        <v>85</v>
      </c>
      <c r="E14" s="2" t="s">
        <v>16</v>
      </c>
      <c r="F14" s="2" t="s">
        <v>51</v>
      </c>
      <c r="G14" s="2" t="s">
        <v>18</v>
      </c>
      <c r="H14" s="2" t="n">
        <v>1</v>
      </c>
      <c r="I14" s="3" t="n">
        <v>78.2</v>
      </c>
      <c r="J14" s="4" t="n">
        <v>900</v>
      </c>
      <c r="K14" s="5" t="n">
        <f aca="false">H14*J14</f>
        <v>900</v>
      </c>
      <c r="L14" s="2" t="s">
        <v>26</v>
      </c>
      <c r="M14" s="2"/>
    </row>
    <row r="15" customFormat="false" ht="26.85" hidden="false" customHeight="false" outlineLevel="0" collapsed="false">
      <c r="A15" s="2" t="s">
        <v>86</v>
      </c>
      <c r="B15" s="2" t="s">
        <v>87</v>
      </c>
      <c r="C15" s="2" t="s">
        <v>88</v>
      </c>
      <c r="D15" s="2" t="s">
        <v>89</v>
      </c>
      <c r="E15" s="2" t="s">
        <v>90</v>
      </c>
      <c r="F15" s="2" t="s">
        <v>91</v>
      </c>
      <c r="G15" s="2" t="s">
        <v>37</v>
      </c>
      <c r="H15" s="2" t="n">
        <v>1</v>
      </c>
      <c r="I15" s="3" t="n">
        <v>2</v>
      </c>
      <c r="J15" s="4" t="n">
        <v>350</v>
      </c>
      <c r="K15" s="5" t="n">
        <f aca="false">H15*J15</f>
        <v>350</v>
      </c>
      <c r="L15" s="2" t="s">
        <v>92</v>
      </c>
      <c r="M15" s="2" t="s">
        <v>93</v>
      </c>
    </row>
    <row r="16" customFormat="false" ht="15" hidden="false" customHeight="false" outlineLevel="0" collapsed="false">
      <c r="A16" s="2" t="s">
        <v>94</v>
      </c>
      <c r="B16" s="2" t="s">
        <v>95</v>
      </c>
      <c r="C16" s="2" t="s">
        <v>96</v>
      </c>
      <c r="D16" s="2" t="s">
        <v>97</v>
      </c>
      <c r="E16" s="2" t="s">
        <v>95</v>
      </c>
      <c r="F16" s="2" t="s">
        <v>98</v>
      </c>
      <c r="G16" s="2" t="s">
        <v>37</v>
      </c>
      <c r="H16" s="2" t="n">
        <v>1</v>
      </c>
      <c r="I16" s="3" t="n">
        <v>0</v>
      </c>
      <c r="J16" s="4" t="n">
        <v>1500</v>
      </c>
      <c r="K16" s="5" t="n">
        <f aca="false">H16*J16</f>
        <v>1500</v>
      </c>
      <c r="L16" s="2" t="s">
        <v>99</v>
      </c>
      <c r="M16" s="2" t="s">
        <v>100</v>
      </c>
    </row>
    <row r="17" customFormat="false" ht="15" hidden="false" customHeight="false" outlineLevel="0" collapsed="false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</row>
    <row r="18" customFormat="false" ht="15" hidden="false" customHeight="false" outlineLevel="0" collapsed="false">
      <c r="A18" s="6"/>
      <c r="B18" s="6"/>
      <c r="C18" s="7" t="s">
        <v>101</v>
      </c>
      <c r="D18" s="6"/>
      <c r="E18" s="6"/>
      <c r="F18" s="6"/>
      <c r="G18" s="6"/>
      <c r="H18" s="6"/>
      <c r="I18" s="8" t="n">
        <f aca="false">SUM(I2:I10)+I15</f>
        <v>315</v>
      </c>
      <c r="J18" s="6"/>
      <c r="K18" s="6"/>
      <c r="L18" s="6"/>
      <c r="M18" s="6"/>
    </row>
    <row r="19" customFormat="false" ht="15" hidden="false" customHeight="false" outlineLevel="0" collapsed="false">
      <c r="A19" s="6"/>
      <c r="B19" s="6"/>
      <c r="C19" s="7" t="s">
        <v>102</v>
      </c>
      <c r="D19" s="6"/>
      <c r="E19" s="6"/>
      <c r="F19" s="6"/>
      <c r="G19" s="6"/>
      <c r="H19" s="6"/>
      <c r="I19" s="8" t="n">
        <f aca="false">SUM(I11:I14)</f>
        <v>225.6</v>
      </c>
      <c r="J19" s="6"/>
      <c r="K19" s="6"/>
      <c r="L19" s="6"/>
      <c r="M19" s="6"/>
    </row>
    <row r="20" customFormat="false" ht="15" hidden="false" customHeight="false" outlineLevel="0" collapsed="false">
      <c r="A20" s="6"/>
      <c r="B20" s="6"/>
      <c r="C20" s="7" t="s">
        <v>103</v>
      </c>
      <c r="D20" s="6"/>
      <c r="E20" s="6"/>
      <c r="F20" s="6"/>
      <c r="G20" s="6"/>
      <c r="H20" s="6"/>
      <c r="I20" s="6"/>
      <c r="J20" s="6"/>
      <c r="K20" s="9" t="n">
        <f aca="false">SUM(K2:K16)</f>
        <v>10290</v>
      </c>
      <c r="L20" s="6"/>
      <c r="M20" s="6"/>
    </row>
    <row r="21" customFormat="false" ht="15" hidden="false" customHeight="false" outlineLevel="0" collapsed="false">
      <c r="A21" s="6"/>
      <c r="B21" s="6"/>
      <c r="C21" s="7" t="s">
        <v>104</v>
      </c>
      <c r="D21" s="6"/>
      <c r="E21" s="6"/>
      <c r="F21" s="6"/>
      <c r="G21" s="6"/>
      <c r="H21" s="6"/>
      <c r="I21" s="6"/>
      <c r="J21" s="6"/>
      <c r="K21" s="10" t="n">
        <v>3</v>
      </c>
      <c r="L21" s="6"/>
      <c r="M21" s="6"/>
    </row>
    <row r="22" customFormat="false" ht="15" hidden="false" customHeight="false" outlineLevel="0" collapsed="false">
      <c r="A22" s="6"/>
      <c r="B22" s="6"/>
      <c r="C22" s="7" t="s">
        <v>105</v>
      </c>
      <c r="D22" s="6"/>
      <c r="E22" s="6"/>
      <c r="F22" s="6"/>
      <c r="G22" s="6"/>
      <c r="H22" s="6"/>
      <c r="I22" s="6"/>
      <c r="J22" s="6"/>
      <c r="K22" s="9" t="n">
        <f aca="false">K20*K21</f>
        <v>30870</v>
      </c>
      <c r="L22" s="6"/>
      <c r="M22" s="6"/>
    </row>
    <row r="23" customFormat="false" ht="15" hidden="false" customHeight="false" outlineLevel="0" collapsed="false">
      <c r="A23" s="6"/>
      <c r="B23" s="6"/>
      <c r="C23" s="7" t="s">
        <v>106</v>
      </c>
      <c r="D23" s="6"/>
      <c r="E23" s="6"/>
      <c r="F23" s="6"/>
      <c r="G23" s="6"/>
      <c r="H23" s="6"/>
      <c r="I23" s="6"/>
      <c r="J23" s="6"/>
      <c r="K23" s="11" t="n">
        <v>50000</v>
      </c>
      <c r="L23" s="6"/>
      <c r="M23" s="6"/>
    </row>
    <row r="24" customFormat="false" ht="15" hidden="false" customHeight="false" outlineLevel="0" collapsed="false">
      <c r="A24" s="6"/>
      <c r="B24" s="6"/>
      <c r="C24" s="7" t="s">
        <v>107</v>
      </c>
      <c r="D24" s="6"/>
      <c r="E24" s="6"/>
      <c r="F24" s="6"/>
      <c r="G24" s="6"/>
      <c r="H24" s="6"/>
      <c r="I24" s="6"/>
      <c r="J24" s="6"/>
      <c r="K24" s="7" t="str">
        <f aca="false">IF(K22&lt;=K23,"yes","no")</f>
        <v>yes</v>
      </c>
      <c r="L24" s="6"/>
      <c r="M24" s="6"/>
    </row>
    <row r="25" customFormat="false" ht="15" hidden="false" customHeight="false" outlineLevel="0" collapsed="false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</row>
    <row r="26" customFormat="false" ht="15" hidden="false" customHeight="false" outlineLevel="0" collapsed="false">
      <c r="A26" s="6"/>
      <c r="B26" s="6"/>
      <c r="C26" s="12" t="s">
        <v>108</v>
      </c>
      <c r="D26" s="6"/>
      <c r="E26" s="6"/>
      <c r="F26" s="6"/>
      <c r="G26" s="6"/>
      <c r="H26" s="6"/>
      <c r="I26" s="6"/>
      <c r="J26" s="6"/>
      <c r="K26" s="6"/>
      <c r="L26" s="6"/>
      <c r="M26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22"/>
    <col collapsed="false" customWidth="true" hidden="false" outlineLevel="0" max="4" min="4" style="0" width="46"/>
    <col collapsed="false" customWidth="true" hidden="false" outlineLevel="0" max="5" min="5" style="0" width="60"/>
    <col collapsed="false" customWidth="true" hidden="false" outlineLevel="0" max="6" min="6" style="0" width="50"/>
  </cols>
  <sheetData>
    <row r="1" customFormat="false" ht="30" hidden="false" customHeight="true" outlineLevel="0" collapsed="false">
      <c r="A1" s="1" t="s">
        <v>0</v>
      </c>
      <c r="B1" s="1" t="s">
        <v>109</v>
      </c>
      <c r="C1" s="1" t="s">
        <v>110</v>
      </c>
      <c r="D1" s="1" t="s">
        <v>111</v>
      </c>
      <c r="E1" s="1" t="s">
        <v>112</v>
      </c>
      <c r="F1" s="1" t="s">
        <v>113</v>
      </c>
    </row>
    <row r="2" customFormat="false" ht="26.85" hidden="false" customHeight="false" outlineLevel="0" collapsed="false">
      <c r="A2" s="2" t="s">
        <v>114</v>
      </c>
      <c r="B2" s="2" t="s">
        <v>115</v>
      </c>
      <c r="C2" s="2" t="s">
        <v>116</v>
      </c>
      <c r="D2" s="2" t="s">
        <v>117</v>
      </c>
      <c r="E2" s="2" t="s">
        <v>118</v>
      </c>
      <c r="F2" s="2" t="s">
        <v>119</v>
      </c>
    </row>
    <row r="3" customFormat="false" ht="15" hidden="false" customHeight="false" outlineLevel="0" collapsed="false">
      <c r="A3" s="2" t="s">
        <v>114</v>
      </c>
      <c r="B3" s="2" t="s">
        <v>120</v>
      </c>
      <c r="C3" s="2" t="s">
        <v>121</v>
      </c>
      <c r="D3" s="2" t="s">
        <v>122</v>
      </c>
      <c r="E3" s="2" t="s">
        <v>123</v>
      </c>
      <c r="F3" s="2" t="s">
        <v>124</v>
      </c>
    </row>
    <row r="4" customFormat="false" ht="26.85" hidden="false" customHeight="false" outlineLevel="0" collapsed="false">
      <c r="A4" s="2" t="s">
        <v>114</v>
      </c>
      <c r="B4" s="2" t="s">
        <v>125</v>
      </c>
      <c r="C4" s="2" t="s">
        <v>126</v>
      </c>
      <c r="D4" s="2" t="s">
        <v>127</v>
      </c>
      <c r="E4" s="2" t="s">
        <v>128</v>
      </c>
      <c r="F4" s="2" t="s">
        <v>119</v>
      </c>
    </row>
    <row r="5" customFormat="false" ht="39.55" hidden="false" customHeight="false" outlineLevel="0" collapsed="false">
      <c r="A5" s="2" t="s">
        <v>114</v>
      </c>
      <c r="B5" s="2" t="s">
        <v>129</v>
      </c>
      <c r="C5" s="2" t="s">
        <v>130</v>
      </c>
      <c r="D5" s="2" t="s">
        <v>131</v>
      </c>
      <c r="E5" s="2" t="s">
        <v>132</v>
      </c>
      <c r="F5" s="2" t="s">
        <v>133</v>
      </c>
    </row>
    <row r="6" customFormat="false" ht="26.85" hidden="false" customHeight="false" outlineLevel="0" collapsed="false">
      <c r="A6" s="2" t="s">
        <v>114</v>
      </c>
      <c r="B6" s="2" t="s">
        <v>134</v>
      </c>
      <c r="C6" s="2" t="s">
        <v>135</v>
      </c>
      <c r="D6" s="2" t="s">
        <v>136</v>
      </c>
      <c r="E6" s="2" t="s">
        <v>137</v>
      </c>
      <c r="F6" s="2" t="s">
        <v>138</v>
      </c>
    </row>
    <row r="7" customFormat="false" ht="39.55" hidden="false" customHeight="false" outlineLevel="0" collapsed="false">
      <c r="A7" s="2" t="s">
        <v>139</v>
      </c>
      <c r="B7" s="2" t="s">
        <v>140</v>
      </c>
      <c r="C7" s="2" t="s">
        <v>141</v>
      </c>
      <c r="D7" s="2" t="s">
        <v>142</v>
      </c>
      <c r="E7" s="2" t="s">
        <v>143</v>
      </c>
      <c r="F7" s="2" t="s">
        <v>144</v>
      </c>
    </row>
    <row r="8" customFormat="false" ht="26.85" hidden="false" customHeight="false" outlineLevel="0" collapsed="false">
      <c r="A8" s="2" t="s">
        <v>145</v>
      </c>
      <c r="B8" s="2" t="s">
        <v>146</v>
      </c>
      <c r="C8" s="2" t="s">
        <v>147</v>
      </c>
      <c r="D8" s="2" t="s">
        <v>148</v>
      </c>
      <c r="E8" s="2" t="s">
        <v>149</v>
      </c>
      <c r="F8" s="2" t="s">
        <v>150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44"/>
    <col collapsed="false" customWidth="true" hidden="false" outlineLevel="0" max="4" min="4" style="0" width="30"/>
    <col collapsed="false" customWidth="true" hidden="false" outlineLevel="0" max="5" min="5" style="0" width="6"/>
    <col collapsed="false" customWidth="true" hidden="false" outlineLevel="0" max="6" min="6" style="0" width="22"/>
  </cols>
  <sheetData>
    <row r="1" customFormat="false" ht="30" hidden="false" customHeight="true" outlineLevel="0" collapsed="false">
      <c r="A1" s="1" t="s">
        <v>151</v>
      </c>
      <c r="B1" s="1" t="s">
        <v>152</v>
      </c>
      <c r="C1" s="1" t="s">
        <v>110</v>
      </c>
      <c r="D1" s="1" t="s">
        <v>153</v>
      </c>
      <c r="E1" s="1" t="s">
        <v>154</v>
      </c>
      <c r="F1" s="1" t="s">
        <v>155</v>
      </c>
    </row>
    <row r="2" customFormat="false" ht="15" hidden="false" customHeight="false" outlineLevel="0" collapsed="false">
      <c r="A2" s="13" t="s">
        <v>156</v>
      </c>
      <c r="B2" s="13" t="s">
        <v>157</v>
      </c>
      <c r="C2" s="13" t="s">
        <v>158</v>
      </c>
      <c r="D2" s="13" t="s">
        <v>159</v>
      </c>
      <c r="E2" s="13" t="n">
        <v>2</v>
      </c>
      <c r="F2" s="13" t="s">
        <v>160</v>
      </c>
    </row>
    <row r="3" customFormat="false" ht="15" hidden="false" customHeight="false" outlineLevel="0" collapsed="false">
      <c r="A3" s="13" t="s">
        <v>161</v>
      </c>
      <c r="B3" s="13" t="s">
        <v>162</v>
      </c>
      <c r="C3" s="13" t="s">
        <v>163</v>
      </c>
      <c r="D3" s="13" t="s">
        <v>164</v>
      </c>
      <c r="E3" s="13" t="n">
        <v>2</v>
      </c>
      <c r="F3" s="13" t="s">
        <v>160</v>
      </c>
    </row>
    <row r="4" customFormat="false" ht="15" hidden="false" customHeight="false" outlineLevel="0" collapsed="false">
      <c r="A4" s="13" t="s">
        <v>165</v>
      </c>
      <c r="B4" s="13" t="s">
        <v>162</v>
      </c>
      <c r="C4" s="13" t="s">
        <v>166</v>
      </c>
      <c r="D4" s="13" t="s">
        <v>167</v>
      </c>
      <c r="E4" s="13" t="n">
        <v>1</v>
      </c>
      <c r="F4" s="13" t="s">
        <v>168</v>
      </c>
    </row>
    <row r="5" customFormat="false" ht="15" hidden="false" customHeight="false" outlineLevel="0" collapsed="false">
      <c r="A5" s="13" t="s">
        <v>169</v>
      </c>
      <c r="B5" s="13" t="s">
        <v>162</v>
      </c>
      <c r="C5" s="13" t="s">
        <v>170</v>
      </c>
      <c r="D5" s="13" t="s">
        <v>171</v>
      </c>
      <c r="E5" s="13" t="n">
        <v>1</v>
      </c>
      <c r="F5" s="13" t="s">
        <v>168</v>
      </c>
    </row>
    <row r="6" customFormat="false" ht="15" hidden="false" customHeight="false" outlineLevel="0" collapsed="false">
      <c r="A6" s="13" t="s">
        <v>172</v>
      </c>
      <c r="B6" s="13" t="s">
        <v>162</v>
      </c>
      <c r="C6" s="13" t="s">
        <v>173</v>
      </c>
      <c r="D6" s="13" t="s">
        <v>174</v>
      </c>
      <c r="E6" s="13" t="n">
        <v>1</v>
      </c>
      <c r="F6" s="13" t="s">
        <v>168</v>
      </c>
    </row>
    <row r="7" customFormat="false" ht="15" hidden="false" customHeight="false" outlineLevel="0" collapsed="false">
      <c r="A7" s="13" t="s">
        <v>175</v>
      </c>
      <c r="B7" s="13" t="s">
        <v>162</v>
      </c>
      <c r="C7" s="13" t="s">
        <v>176</v>
      </c>
      <c r="D7" s="13" t="s">
        <v>177</v>
      </c>
      <c r="E7" s="13" t="n">
        <v>1</v>
      </c>
      <c r="F7" s="13" t="s">
        <v>178</v>
      </c>
    </row>
    <row r="8" customFormat="false" ht="15" hidden="false" customHeight="false" outlineLevel="0" collapsed="false">
      <c r="A8" s="13" t="s">
        <v>179</v>
      </c>
      <c r="B8" s="13" t="s">
        <v>180</v>
      </c>
      <c r="C8" s="13" t="s">
        <v>181</v>
      </c>
      <c r="D8" s="13" t="s">
        <v>182</v>
      </c>
      <c r="E8" s="13" t="n">
        <v>2</v>
      </c>
      <c r="F8" s="13" t="s">
        <v>160</v>
      </c>
    </row>
    <row r="9" customFormat="false" ht="15" hidden="false" customHeight="false" outlineLevel="0" collapsed="false">
      <c r="A9" s="13" t="s">
        <v>183</v>
      </c>
      <c r="B9" s="13" t="s">
        <v>157</v>
      </c>
      <c r="C9" s="13" t="s">
        <v>184</v>
      </c>
      <c r="D9" s="13" t="s">
        <v>185</v>
      </c>
      <c r="E9" s="13" t="n">
        <v>1</v>
      </c>
      <c r="F9" s="13" t="s">
        <v>186</v>
      </c>
    </row>
    <row r="10" customFormat="false" ht="15" hidden="false" customHeight="false" outlineLevel="0" collapsed="false">
      <c r="A10" s="6"/>
      <c r="B10" s="6"/>
      <c r="C10" s="6"/>
      <c r="D10" s="6"/>
      <c r="E10" s="6"/>
      <c r="F10" s="6"/>
    </row>
    <row r="11" customFormat="false" ht="15" hidden="false" customHeight="false" outlineLevel="0" collapsed="false">
      <c r="A11" s="12" t="s">
        <v>187</v>
      </c>
      <c r="B11" s="6"/>
      <c r="C11" s="6"/>
      <c r="D11" s="6"/>
      <c r="E11" s="6"/>
      <c r="F11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70"/>
  </cols>
  <sheetData>
    <row r="1" customFormat="false" ht="30" hidden="false" customHeight="true" outlineLevel="0" collapsed="false">
      <c r="A1" s="1" t="s">
        <v>188</v>
      </c>
      <c r="B1" s="1" t="s">
        <v>189</v>
      </c>
      <c r="C1" s="1" t="s">
        <v>190</v>
      </c>
      <c r="D1" s="1" t="s">
        <v>191</v>
      </c>
    </row>
    <row r="2" customFormat="false" ht="15" hidden="false" customHeight="false" outlineLevel="0" collapsed="false">
      <c r="A2" s="14" t="s">
        <v>192</v>
      </c>
      <c r="B2" s="10" t="n">
        <v>26</v>
      </c>
      <c r="C2" s="14" t="s">
        <v>95</v>
      </c>
      <c r="D2" s="14" t="s">
        <v>193</v>
      </c>
    </row>
    <row r="3" customFormat="false" ht="15" hidden="false" customHeight="false" outlineLevel="0" collapsed="false">
      <c r="A3" s="14" t="s">
        <v>194</v>
      </c>
      <c r="B3" s="10" t="n">
        <v>2</v>
      </c>
      <c r="C3" s="14" t="s">
        <v>195</v>
      </c>
      <c r="D3" s="14" t="s">
        <v>196</v>
      </c>
    </row>
    <row r="4" customFormat="false" ht="15" hidden="false" customHeight="false" outlineLevel="0" collapsed="false">
      <c r="A4" s="14" t="s">
        <v>197</v>
      </c>
      <c r="B4" s="10" t="n">
        <v>0.89</v>
      </c>
      <c r="C4" s="14" t="s">
        <v>198</v>
      </c>
      <c r="D4" s="14" t="s">
        <v>199</v>
      </c>
    </row>
    <row r="5" customFormat="false" ht="15" hidden="false" customHeight="false" outlineLevel="0" collapsed="false">
      <c r="A5" s="14" t="s">
        <v>200</v>
      </c>
      <c r="B5" s="10" t="n">
        <v>20</v>
      </c>
      <c r="C5" s="14" t="s">
        <v>195</v>
      </c>
      <c r="D5" s="14"/>
    </row>
    <row r="6" customFormat="false" ht="15" hidden="false" customHeight="false" outlineLevel="0" collapsed="false">
      <c r="A6" s="14" t="s">
        <v>201</v>
      </c>
      <c r="B6" s="10" t="n">
        <v>83.5</v>
      </c>
      <c r="C6" s="14" t="s">
        <v>195</v>
      </c>
      <c r="D6" s="14" t="s">
        <v>202</v>
      </c>
    </row>
    <row r="7" customFormat="false" ht="15" hidden="false" customHeight="false" outlineLevel="0" collapsed="false">
      <c r="A7" s="14" t="s">
        <v>203</v>
      </c>
      <c r="B7" s="10" t="n">
        <v>0.3</v>
      </c>
      <c r="C7" s="14" t="s">
        <v>204</v>
      </c>
      <c r="D7" s="14" t="s">
        <v>205</v>
      </c>
    </row>
    <row r="8" customFormat="false" ht="15" hidden="false" customHeight="false" outlineLevel="0" collapsed="false">
      <c r="A8" s="14" t="s">
        <v>206</v>
      </c>
      <c r="B8" s="10" t="n">
        <v>1</v>
      </c>
      <c r="C8" s="14" t="s">
        <v>207</v>
      </c>
      <c r="D8" s="14" t="s">
        <v>208</v>
      </c>
    </row>
    <row r="9" customFormat="false" ht="15" hidden="false" customHeight="false" outlineLevel="0" collapsed="false">
      <c r="A9" s="7" t="s">
        <v>209</v>
      </c>
      <c r="B9" s="15" t="n">
        <f aca="false">1/(B2*B4*B3/25.4)*2444.9*14.504</f>
        <v>19462.0802039758</v>
      </c>
      <c r="C9" s="14" t="s">
        <v>210</v>
      </c>
      <c r="D9" s="14" t="s">
        <v>211</v>
      </c>
    </row>
    <row r="10" customFormat="false" ht="15" hidden="false" customHeight="false" outlineLevel="0" collapsed="false">
      <c r="A10" s="7" t="s">
        <v>212</v>
      </c>
      <c r="B10" s="15" t="n">
        <f aca="false">(PI()*B5*B6+PI()/4*B5^2)/1000000</f>
        <v>0.00556061899685393</v>
      </c>
      <c r="C10" s="14" t="s">
        <v>213</v>
      </c>
      <c r="D10" s="14" t="s">
        <v>214</v>
      </c>
    </row>
    <row r="11" customFormat="false" ht="15" hidden="false" customHeight="false" outlineLevel="0" collapsed="false">
      <c r="A11" s="7" t="s">
        <v>215</v>
      </c>
      <c r="B11" s="15" t="n">
        <f aca="false">B9*B10*B7/60/B8</f>
        <v>0.541106064502614</v>
      </c>
      <c r="C11" s="14" t="s">
        <v>216</v>
      </c>
      <c r="D11" s="14" t="s">
        <v>217</v>
      </c>
    </row>
    <row r="12" customFormat="false" ht="15" hidden="false" customHeight="false" outlineLevel="0" collapsed="false">
      <c r="A12" s="7" t="s">
        <v>218</v>
      </c>
      <c r="B12" s="15" t="n">
        <f aca="false">0.5/B11*60</f>
        <v>55.4419955126101</v>
      </c>
      <c r="C12" s="14" t="s">
        <v>219</v>
      </c>
      <c r="D12" s="14"/>
    </row>
    <row r="13" customFormat="false" ht="15" hidden="false" customHeight="false" outlineLevel="0" collapsed="false">
      <c r="A13" s="7" t="s">
        <v>220</v>
      </c>
      <c r="B13" s="15" t="n">
        <f aca="false">1/B11*60</f>
        <v>110.88399102522</v>
      </c>
      <c r="C13" s="14" t="s">
        <v>219</v>
      </c>
      <c r="D13" s="1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2026-10-22T11:50:08Z</dcterms:created>
  <dc:creator>openpyxl</dc:creator>
  <dc:description/>
  <dc:language>en-US</dc:language>
  <cp:lastModifiedBy/>
  <dcterms:modified xsi:type="dcterms:W3CDTF">2026-10-22T11:50:09Z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