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ppliers" sheetId="2" state="visible" r:id="rId4"/>
    <sheet name="Seals" sheetId="3" state="visible" r:id="rId5"/>
    <sheet name="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Rough prototype estimates (one-off CNC in Bangalore). Replace every yellow cell with RFQ quotes.</t>
        </r>
      </text>
    </comment>
    <comment ref="J5" authorId="0">
      <text>
        <r>
          <rPr>
            <sz val="10"/>
            <rFont val="Arial"/>
            <family val="2"/>
          </rPr>
          <t xml:space="preserve">No public price for asymmetric sintered discs; this is a placeholder until GKN / Shinkai quote.</t>
        </r>
      </text>
    </comment>
  </commentList>
</comments>
</file>

<file path=xl/sharedStrings.xml><?xml version="1.0" encoding="utf-8"?>
<sst xmlns="http://schemas.openxmlformats.org/spreadsheetml/2006/main" count="285" uniqueCount="235">
  <si>
    <t xml:space="preserve">Item</t>
  </si>
  <si>
    <t xml:space="preserve">Part no.</t>
  </si>
  <si>
    <t xml:space="preserve">Name</t>
  </si>
  <si>
    <t xml:space="preserve">Material / spec</t>
  </si>
  <si>
    <t xml:space="preserve">Stock / source form</t>
  </si>
  <si>
    <t xml:space="preserve">Process</t>
  </si>
  <si>
    <t xml:space="preserve">Make/Buy</t>
  </si>
  <si>
    <t xml:space="preserve">Qty per kit</t>
  </si>
  <si>
    <t xml:space="preserve">Mass g (CAD)</t>
  </si>
  <si>
    <t xml:space="preserve">Est. unit cost ₹ (proto)</t>
  </si>
  <si>
    <t xml:space="preserve">Line cost ₹</t>
  </si>
  <si>
    <t xml:space="preserve">Supplier candidates</t>
  </si>
  <si>
    <t xml:space="preserve">Notes</t>
  </si>
  <si>
    <t xml:space="preserve">MPx-SQ2-001</t>
  </si>
  <si>
    <t xml:space="preserve">Inlet cap (bottle side)</t>
  </si>
  <si>
    <t xml:space="preserve">316L; 28 PCO 1881 int. + M48×1.0-6H int.; 8 roof ribs</t>
  </si>
  <si>
    <t xml:space="preserve">Ø55 316L bar</t>
  </si>
  <si>
    <t xml:space="preserve">CNC turn, single-point PCO + M48 threads; mill ribs; knurl</t>
  </si>
  <si>
    <t xml:space="preserve">Make</t>
  </si>
  <si>
    <t xml:space="preserve">Peenya CNC job shops (Bangalore)</t>
  </si>
  <si>
    <t xml:space="preserve">Measure bottle thread starts before cutting (sheet 2)</t>
  </si>
  <si>
    <t xml:space="preserve">MPx-SQ2-002</t>
  </si>
  <si>
    <t xml:space="preserve">Prefilter cup, 20 µm (built in)</t>
  </si>
  <si>
    <t xml:space="preserve">316L 2-layer sintered laminate (20 µm Dutch weave + 0.5 perforated plate), Ø17×28 closed end</t>
  </si>
  <si>
    <t xml:space="preserve">Custom laminate cup</t>
  </si>
  <si>
    <t xml:space="preserve">Form + sinter-bond (supplier)</t>
  </si>
  <si>
    <t xml:space="preserve">Buy</t>
  </si>
  <si>
    <t xml:space="preserve">Hengko (CN); Britomatics (Navi Mumbai); SS wire-mesh fabricators</t>
  </si>
  <si>
    <t xml:space="preserve">Or make: roll + seam-weld laminate sheet, weld end disc</t>
  </si>
  <si>
    <t xml:space="preserve">2a</t>
  </si>
  <si>
    <t xml:space="preserve">MPx-SQ2-002a</t>
  </si>
  <si>
    <t xml:space="preserve">Prefilter collar</t>
  </si>
  <si>
    <t xml:space="preserve">316L; press-fit Ø15 H7 + laser weld</t>
  </si>
  <si>
    <t xml:space="preserve">Ø18 316L bar</t>
  </si>
  <si>
    <t xml:space="preserve">CNC turn; laser weld</t>
  </si>
  <si>
    <t xml:space="preserve">CNC shop + laser-weld shop</t>
  </si>
  <si>
    <t xml:space="preserve">3A</t>
  </si>
  <si>
    <t xml:space="preserve">MPx-SQ2-003A</t>
  </si>
  <si>
    <t xml:space="preserve">Cassette A · fine (analysis)</t>
  </si>
  <si>
    <t xml:space="preserve">Frame 316L Ø45×2.4 + disc Ø40×1.6 asymmetric sintered 316L ~1 µm</t>
  </si>
  <si>
    <t xml:space="preserve">Custom disc + Ø48 bar</t>
  </si>
  <si>
    <t xml:space="preserve">Disc: supplier; frame: CNC; laser seam weld</t>
  </si>
  <si>
    <t xml:space="preserve">Make+Buy</t>
  </si>
  <si>
    <t xml:space="preserve">GKN Sinter Metals (SIKA-R AS); Shinkai (CN) asymmetric membrane; Mott (US)</t>
  </si>
  <si>
    <t xml:space="preserve">Highest-risk buy item: ask for liquid rating, bubble point, flux data on a Ø40 disc</t>
  </si>
  <si>
    <t xml:space="preserve">3B</t>
  </si>
  <si>
    <t xml:space="preserve">MPx-SQ2-003B</t>
  </si>
  <si>
    <t xml:space="preserve">Cassette B · catalogue fine</t>
  </si>
  <si>
    <t xml:space="preserve">Same frame + Ø40×1.6 symmetric sintered 316L, grade 0.2 (≈1.4 µm)</t>
  </si>
  <si>
    <t xml:space="preserve">Catalogue disc + Ø48 bar</t>
  </si>
  <si>
    <t xml:space="preserve">as 3A</t>
  </si>
  <si>
    <t xml:space="preserve">Hengko; Britomatics; Aris Filtration; Porvair India</t>
  </si>
  <si>
    <t xml:space="preserve">Fallback if 3A is slow to source; 3× slower flow</t>
  </si>
  <si>
    <t xml:space="preserve">3C</t>
  </si>
  <si>
    <t xml:space="preserve">MPx-SQ2-003C</t>
  </si>
  <si>
    <t xml:space="preserve">Cassette C · budget fast</t>
  </si>
  <si>
    <t xml:space="preserve">Same frame + Ø40×1.6 symmetric sintered 316L, grade 0.5 (≈2.5 µm)</t>
  </si>
  <si>
    <t xml:space="preserve">as 3B</t>
  </si>
  <si>
    <t xml:space="preserve">Same flow as A, coarser capture</t>
  </si>
  <si>
    <t xml:space="preserve">MPx-SQ2-004</t>
  </si>
  <si>
    <t xml:space="preserve">Base + spout stem</t>
  </si>
  <si>
    <t xml:space="preserve">316L; M48×1.0-6g, M12×1.0-6g; 8 drain ribs; cross-port Ø2</t>
  </si>
  <si>
    <t xml:space="preserve">CNC turn, mill ribs + tweezer slots, drill port</t>
  </si>
  <si>
    <t xml:space="preserve">Peenya CNC job shops</t>
  </si>
  <si>
    <t xml:space="preserve">MPx-SQ2-005</t>
  </si>
  <si>
    <t xml:space="preserve">Push-pull sleeve</t>
  </si>
  <si>
    <t xml:space="preserve">316L</t>
  </si>
  <si>
    <t xml:space="preserve">Ø14 316L bar</t>
  </si>
  <si>
    <t xml:space="preserve">CNC turn</t>
  </si>
  <si>
    <t xml:space="preserve">MPx-SQ2-010</t>
  </si>
  <si>
    <t xml:space="preserve">Tap adapter (M22 female)</t>
  </si>
  <si>
    <t xml:space="preserve">316L; 28 PCO male neck + M22×1 int.; bore Ø20×31</t>
  </si>
  <si>
    <t xml:space="preserve">Ø35 316L bar</t>
  </si>
  <si>
    <t xml:space="preserve">Neck lip Ra ≤ 0.8 to seal on S1</t>
  </si>
  <si>
    <t xml:space="preserve">MPx-SQ-011</t>
  </si>
  <si>
    <t xml:space="preserve">M24 → M22 tap adapter</t>
  </si>
  <si>
    <t xml:space="preserve">v1 part</t>
  </si>
  <si>
    <t xml:space="preserve">Hex 27 316L bar</t>
  </si>
  <si>
    <t xml:space="preserve">CNC shop</t>
  </si>
  <si>
    <t xml:space="preserve">MPx-SQ-012</t>
  </si>
  <si>
    <t xml:space="preserve">Universal tap ferrule + silicone sleeve</t>
  </si>
  <si>
    <t xml:space="preserve">Ø25 bar + bought sleeve/clamp</t>
  </si>
  <si>
    <t xml:space="preserve">CNC turn; buy sleeve + clamp</t>
  </si>
  <si>
    <t xml:space="preserve">CNC shop; food-grade silicone moulder</t>
  </si>
  <si>
    <t xml:space="preserve">MPx-SQ2-013</t>
  </si>
  <si>
    <t xml:space="preserve">Backflush coupler</t>
  </si>
  <si>
    <t xml:space="preserve">316L; 28 PCO 1881 int. + M12×1 int.</t>
  </si>
  <si>
    <t xml:space="preserve">MPx-SQ2-014</t>
  </si>
  <si>
    <t xml:space="preserve">Inspection holder + cover glass</t>
  </si>
  <si>
    <t xml:space="preserve">316L dish Ø56×6 + borosilicate Ø50×0.17</t>
  </si>
  <si>
    <t xml:space="preserve">Ø58 bar + bought glass</t>
  </si>
  <si>
    <t xml:space="preserve">CNC turn; buy glass</t>
  </si>
  <si>
    <t xml:space="preserve">CNC shop; lab-glass suppliers</t>
  </si>
  <si>
    <t xml:space="preserve">S</t>
  </si>
  <si>
    <t xml:space="preserve">MPx-SQ2-020</t>
  </si>
  <si>
    <t xml:space="preserve">Seal kit S1–S7</t>
  </si>
  <si>
    <t xml:space="preserve">Silicone 60 ShA, FDA 21 CFR 177.2600</t>
  </si>
  <si>
    <t xml:space="preserve">O-rings + cut gaskets</t>
  </si>
  <si>
    <t xml:space="preserve">Buy / cut from sheet</t>
  </si>
  <si>
    <t xml:space="preserve">AMI Polymer (India) or food-grade O-ring stockists</t>
  </si>
  <si>
    <t xml:space="preserve">See Seals tab</t>
  </si>
  <si>
    <t xml:space="preserve">F</t>
  </si>
  <si>
    <t xml:space="preserve">—</t>
  </si>
  <si>
    <t xml:space="preserve">Electropolish + passivation (lot)</t>
  </si>
  <si>
    <t xml:space="preserve">ASTM A967</t>
  </si>
  <si>
    <t xml:space="preserve">Subcontract</t>
  </si>
  <si>
    <t xml:space="preserve">SS finishing shops (Peenya)</t>
  </si>
  <si>
    <t xml:space="preserve">Per batch of parts</t>
  </si>
  <si>
    <t xml:space="preserve">Core unit mass, items 1–5 with cassette A + seals (g)</t>
  </si>
  <si>
    <t xml:space="preserve">Accessories mass, items 10–14 (g)</t>
  </si>
  <si>
    <t xml:space="preserve">Prototype kit cost, all lines (₹)</t>
  </si>
  <si>
    <t xml:space="preserve">Number of prototype kits</t>
  </si>
  <si>
    <t xml:space="preserve">Prototype budget needed (₹)</t>
  </si>
  <si>
    <t xml:space="preserve">PD-298 department prototyping cap (₹)</t>
  </si>
  <si>
    <t xml:space="preserve">Within cap?</t>
  </si>
  <si>
    <t xml:space="preserve">Legend: yellow cells with blue text are estimates or choices to edit; everything else is calculated or from the drawings / CAD.</t>
  </si>
  <si>
    <t xml:space="preserve">Supplier</t>
  </si>
  <si>
    <t xml:space="preserve">Location</t>
  </si>
  <si>
    <t xml:space="preserve">What they list</t>
  </si>
  <si>
    <t xml:space="preserve">Ask in the RFQ</t>
  </si>
  <si>
    <t xml:space="preserve">Source</t>
  </si>
  <si>
    <t xml:space="preserve">GKN Sinter Metals Filters (SIKA-R AS)</t>
  </si>
  <si>
    <t xml:space="preserve">Germany / GKN Powder Metallurgy India</t>
  </si>
  <si>
    <t xml:space="preserve">Asymmetric 316L: ~0.2 mm membrane on a coarse support, grades 0.1–3 AS, tubes or discs, 'up to 4×' flow vs standard</t>
  </si>
  <si>
    <t xml:space="preserve">Ø40 × ~1.6 disc, finest liquid grade that passes 1 µm; flux at 0.2 bar; bubble point; weldable rim</t>
  </si>
  <si>
    <t xml:space="preserve">https://admin.gknpm.com/globalassets/downloads/gkn-sinter-metal-filters/brochures/sika-r-is-as.pdf</t>
  </si>
  <si>
    <t xml:space="preserve">Shinkai Filter</t>
  </si>
  <si>
    <t xml:space="preserve">China</t>
  </si>
  <si>
    <t xml:space="preserve">Asymmetric sintered porous metal membrane, ~0.3 mm layer, down to 0.1 µm, 316L</t>
  </si>
  <si>
    <t xml:space="preserve">Same as above; sample discs</t>
  </si>
  <si>
    <t xml:space="preserve">https://www.shinkaifilter.com/products/sinter-metal-filter-elements-2/asymmetric-sinter-porous-metal-filter-membrane/</t>
  </si>
  <si>
    <t xml:space="preserve">3B, 3C</t>
  </si>
  <si>
    <t xml:space="preserve">Hengko</t>
  </si>
  <si>
    <t xml:space="preserve">Sintered 316L powder or mesh discs 0.2–120 µm; ±0.05 mm; MOQ 100</t>
  </si>
  <si>
    <t xml:space="preserve">Ø40 × 1.6 discs, grades for ≈1.4 µm and ≈2.5 µm liquid rating; samples</t>
  </si>
  <si>
    <t xml:space="preserve">https://www.hengko.com/sintered-0-2-120-micron-bronze-316l-stainless-steel-metal-mesh-powder-filter-disc-for-wastewater-treatment-products/</t>
  </si>
  <si>
    <t xml:space="preserve">Indian sintered-disc makers (IndiaMART)</t>
  </si>
  <si>
    <t xml:space="preserve">India</t>
  </si>
  <si>
    <t xml:space="preserve">Porous SS filter discs</t>
  </si>
  <si>
    <t xml:space="preserve">Ø40 × 1.6, 316L, finest grade; liquid absolute rating</t>
  </si>
  <si>
    <t xml:space="preserve">https://m.indiamart.com/impcat/porous-filter-disc.html</t>
  </si>
  <si>
    <t xml:space="preserve">2</t>
  </si>
  <si>
    <t xml:space="preserve">Hengko / mesh laminators</t>
  </si>
  <si>
    <t xml:space="preserve">China / India</t>
  </si>
  <si>
    <t xml:space="preserve">Sintered multilayer 316L wire-mesh discs and laminates</t>
  </si>
  <si>
    <t xml:space="preserve">20 µm Dutch weave + perforated plate laminate, formed cup Ø17×28 closed end</t>
  </si>
  <si>
    <t xml:space="preserve">https://www.hengko.com/sintered-304-316l-stainless-steel-wire-mesh-filter-screen-products/</t>
  </si>
  <si>
    <t xml:space="preserve">1, 2a, 4, 5, 10–14</t>
  </si>
  <si>
    <t xml:space="preserve">CNC turning job shops</t>
  </si>
  <si>
    <t xml:space="preserve">Peenya, Bangalore</t>
  </si>
  <si>
    <t xml:space="preserve">316L turning, threading, knurling, laser welding</t>
  </si>
  <si>
    <t xml:space="preserve">Drawing set sheets 2–5; 3 kits; electropolish + passivation</t>
  </si>
  <si>
    <t xml:space="preserve">local</t>
  </si>
  <si>
    <t xml:space="preserve">S1–S7</t>
  </si>
  <si>
    <t xml:space="preserve">AMI Polymer Pvt Ltd (Imaseal) or similar</t>
  </si>
  <si>
    <t xml:space="preserve">O-rings incl. silicone, food grade</t>
  </si>
  <si>
    <t xml:space="preserve">FDA 21 CFR 177.2600 silicone, sizes on Seals tab</t>
  </si>
  <si>
    <t xml:space="preserve">https://www.directindustry.com/prod/ami-polymer-pvt-ltd/product-238681-2835732.html</t>
  </si>
  <si>
    <t xml:space="preserve">ID</t>
  </si>
  <si>
    <t xml:space="preserve">Type</t>
  </si>
  <si>
    <t xml:space="preserve">Size (ID × CS or OD/ID × t), mm</t>
  </si>
  <si>
    <t xml:space="preserve">Qty</t>
  </si>
  <si>
    <t xml:space="preserve">Side of filter</t>
  </si>
  <si>
    <t xml:space="preserve">S1</t>
  </si>
  <si>
    <t xml:space="preserve">flat gasket</t>
  </si>
  <si>
    <t xml:space="preserve">bottle lip on P01 web; P10, P13</t>
  </si>
  <si>
    <t xml:space="preserve">Ø25.5/Ø19 × 1.5</t>
  </si>
  <si>
    <t xml:space="preserve">dirty</t>
  </si>
  <si>
    <t xml:space="preserve">S2</t>
  </si>
  <si>
    <t xml:space="preserve">O-ring</t>
  </si>
  <si>
    <t xml:space="preserve">P01 land on cassette top face</t>
  </si>
  <si>
    <t xml:space="preserve">40.5 × 1.5</t>
  </si>
  <si>
    <t xml:space="preserve">S3</t>
  </si>
  <si>
    <t xml:space="preserve">P04 seat under cassette</t>
  </si>
  <si>
    <t xml:space="preserve">clean</t>
  </si>
  <si>
    <t xml:space="preserve">S4</t>
  </si>
  <si>
    <t xml:space="preserve">spout stem, sleeve seal</t>
  </si>
  <si>
    <t xml:space="preserve">7 × 1.5</t>
  </si>
  <si>
    <t xml:space="preserve">S5</t>
  </si>
  <si>
    <t xml:space="preserve">plug pin in sleeve outlet</t>
  </si>
  <si>
    <t xml:space="preserve">2.5 × 1.0</t>
  </si>
  <si>
    <t xml:space="preserve">S6</t>
  </si>
  <si>
    <t xml:space="preserve">flat washer</t>
  </si>
  <si>
    <t xml:space="preserve">tap face in P10; P12 ferrule</t>
  </si>
  <si>
    <t xml:space="preserve">Ø22/Ø16 × 2</t>
  </si>
  <si>
    <t xml:space="preserve">S7</t>
  </si>
  <si>
    <t xml:space="preserve">P13 coupler on stem thread shoulder</t>
  </si>
  <si>
    <t xml:space="preserve">10 × 1.5</t>
  </si>
  <si>
    <t xml:space="preserve">backflush</t>
  </si>
  <si>
    <t xml:space="preserve">All silicone 60 ShA, FDA 21 CFR 177.2600, post-cured, unpigmented.</t>
  </si>
  <si>
    <t xml:space="preserve">Input / result</t>
  </si>
  <si>
    <t xml:space="preserve">Value</t>
  </si>
  <si>
    <t xml:space="preserve">Unit</t>
  </si>
  <si>
    <t xml:space="preserve">Note</t>
  </si>
  <si>
    <t xml:space="preserve">Active disc diameter</t>
  </si>
  <si>
    <t xml:space="preserve">mm</t>
  </si>
  <si>
    <t xml:space="preserve">Inside the frame lip</t>
  </si>
  <si>
    <t xml:space="preserve">KL × thickness, cassette A</t>
  </si>
  <si>
    <t xml:space="preserve">26 × 1.5 / 3 (asymmetric gain, GKN claims up to 4)</t>
  </si>
  <si>
    <t xml:space="preserve">KL × thickness, cassette B</t>
  </si>
  <si>
    <t xml:space="preserve">grade 0.2: KL 26 × 1.6</t>
  </si>
  <si>
    <t xml:space="preserve">KL × thickness, cassette C</t>
  </si>
  <si>
    <t xml:space="preserve">grade 0.5: KL 8 × 1.6</t>
  </si>
  <si>
    <t xml:space="preserve">Water viscosity</t>
  </si>
  <si>
    <t xml:space="preserve">cP</t>
  </si>
  <si>
    <t xml:space="preserve">25 °C</t>
  </si>
  <si>
    <t xml:space="preserve">Hand force</t>
  </si>
  <si>
    <t xml:space="preserve">N</t>
  </si>
  <si>
    <t xml:space="preserve">comfortable one-hand squeeze (assumption)</t>
  </si>
  <si>
    <t xml:space="preserve">Palm contact area</t>
  </si>
  <si>
    <t xml:space="preserve">cm²</t>
  </si>
  <si>
    <t xml:space="preserve">500 mL PET (assumption, bench test 2)</t>
  </si>
  <si>
    <t xml:space="preserve">Bottle wall stiffness</t>
  </si>
  <si>
    <t xml:space="preserve">Water column above disc</t>
  </si>
  <si>
    <t xml:space="preserve">m</t>
  </si>
  <si>
    <t xml:space="preserve">full 500 mL bottle, inverted</t>
  </si>
  <si>
    <t xml:space="preserve">Tap pressure</t>
  </si>
  <si>
    <t xml:space="preserve">bar</t>
  </si>
  <si>
    <t xml:space="preserve">Disc area</t>
  </si>
  <si>
    <t xml:space="preserve">m²</t>
  </si>
  <si>
    <t xml:space="preserve">Squeeze pressure</t>
  </si>
  <si>
    <t xml:space="preserve">(F − wall) / palm area + water column</t>
  </si>
  <si>
    <t xml:space="preserve">Permeance A</t>
  </si>
  <si>
    <t xml:space="preserve">L/(m²·h·bar)</t>
  </si>
  <si>
    <t xml:space="preserve">Mott: ΔP[psi] = KL·flux[gpm/ft²]·µ[cP]·t[in]</t>
  </si>
  <si>
    <t xml:space="preserve">Permeance B</t>
  </si>
  <si>
    <t xml:space="preserve">Permeance C</t>
  </si>
  <si>
    <t xml:space="preserve">Squeeze flow A</t>
  </si>
  <si>
    <t xml:space="preserve">L/min</t>
  </si>
  <si>
    <t xml:space="preserve">clean media</t>
  </si>
  <si>
    <t xml:space="preserve">Squeeze flow B</t>
  </si>
  <si>
    <t xml:space="preserve">Squeeze flow C</t>
  </si>
  <si>
    <t xml:space="preserve">Time for 500 mL, A</t>
  </si>
  <si>
    <t xml:space="preserve">s</t>
  </si>
  <si>
    <t xml:space="preserve">Tap flow 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</si>
</sst>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6.8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1</v>
      </c>
      <c r="I2" s="3" t="n">
        <v>96</v>
      </c>
      <c r="J2" s="4" t="n">
        <v>1300</v>
      </c>
      <c r="K2" s="5" t="n">
        <f aca="false">H2*J2</f>
        <v>1300</v>
      </c>
      <c r="L2" s="2" t="s">
        <v>19</v>
      </c>
      <c r="M2" s="2" t="s">
        <v>20</v>
      </c>
    </row>
    <row r="3" customFormat="false" ht="39.5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n">
        <v>1</v>
      </c>
      <c r="I3" s="3" t="n">
        <v>4.9</v>
      </c>
      <c r="J3" s="4" t="n">
        <v>800</v>
      </c>
      <c r="K3" s="5" t="n">
        <f aca="false">H3*J3</f>
        <v>800</v>
      </c>
      <c r="L3" s="2" t="s">
        <v>27</v>
      </c>
      <c r="M3" s="2" t="s">
        <v>28</v>
      </c>
    </row>
    <row r="4" customFormat="false" ht="26.8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18</v>
      </c>
      <c r="H4" s="2" t="n">
        <v>1</v>
      </c>
      <c r="I4" s="3" t="n">
        <v>1.9</v>
      </c>
      <c r="J4" s="4" t="n">
        <v>350</v>
      </c>
      <c r="K4" s="5" t="n">
        <f aca="false">H4*J4</f>
        <v>350</v>
      </c>
      <c r="L4" s="2" t="s">
        <v>35</v>
      </c>
      <c r="M4" s="2"/>
    </row>
    <row r="5" customFormat="false" ht="26.8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n">
        <v>1</v>
      </c>
      <c r="I5" s="3" t="n">
        <v>17</v>
      </c>
      <c r="J5" s="4" t="n">
        <v>3500</v>
      </c>
      <c r="K5" s="5" t="n">
        <f aca="false">H5*J5</f>
        <v>3500</v>
      </c>
      <c r="L5" s="2" t="s">
        <v>43</v>
      </c>
      <c r="M5" s="2" t="s">
        <v>44</v>
      </c>
    </row>
    <row r="6" customFormat="false" ht="26.85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42</v>
      </c>
      <c r="H6" s="2" t="n">
        <v>1</v>
      </c>
      <c r="I6" s="3" t="n">
        <v>17</v>
      </c>
      <c r="J6" s="4" t="n">
        <v>1200</v>
      </c>
      <c r="K6" s="5" t="n">
        <f aca="false">H6*J6</f>
        <v>1200</v>
      </c>
      <c r="L6" s="2" t="s">
        <v>51</v>
      </c>
      <c r="M6" s="2" t="s">
        <v>52</v>
      </c>
    </row>
    <row r="7" customFormat="false" ht="26.85" hidden="false" customHeight="false" outlineLevel="0" collapsed="false">
      <c r="A7" s="2" t="s">
        <v>53</v>
      </c>
      <c r="B7" s="2" t="s">
        <v>54</v>
      </c>
      <c r="C7" s="2" t="s">
        <v>55</v>
      </c>
      <c r="D7" s="2" t="s">
        <v>56</v>
      </c>
      <c r="E7" s="2" t="s">
        <v>49</v>
      </c>
      <c r="F7" s="2" t="s">
        <v>50</v>
      </c>
      <c r="G7" s="2" t="s">
        <v>42</v>
      </c>
      <c r="H7" s="2" t="n">
        <v>1</v>
      </c>
      <c r="I7" s="3" t="n">
        <v>17</v>
      </c>
      <c r="J7" s="4" t="n">
        <v>1100</v>
      </c>
      <c r="K7" s="5" t="n">
        <f aca="false">H7*J7</f>
        <v>1100</v>
      </c>
      <c r="L7" s="2" t="s">
        <v>57</v>
      </c>
      <c r="M7" s="2" t="s">
        <v>58</v>
      </c>
    </row>
    <row r="8" customFormat="false" ht="26.85" hidden="false" customHeight="false" outlineLevel="0" collapsed="false">
      <c r="A8" s="2" t="n">
        <v>4</v>
      </c>
      <c r="B8" s="2" t="s">
        <v>59</v>
      </c>
      <c r="C8" s="2" t="s">
        <v>60</v>
      </c>
      <c r="D8" s="2" t="s">
        <v>61</v>
      </c>
      <c r="E8" s="2" t="s">
        <v>16</v>
      </c>
      <c r="F8" s="2" t="s">
        <v>62</v>
      </c>
      <c r="G8" s="2" t="s">
        <v>18</v>
      </c>
      <c r="H8" s="2" t="n">
        <v>1</v>
      </c>
      <c r="I8" s="3" t="n">
        <v>74</v>
      </c>
      <c r="J8" s="4" t="n">
        <v>1300</v>
      </c>
      <c r="K8" s="5" t="n">
        <f aca="false">H8*J8</f>
        <v>1300</v>
      </c>
      <c r="L8" s="2" t="s">
        <v>63</v>
      </c>
      <c r="M8" s="2"/>
    </row>
    <row r="9" customFormat="false" ht="26.85" hidden="false" customHeight="false" outlineLevel="0" collapsed="false">
      <c r="A9" s="2" t="n">
        <v>5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18</v>
      </c>
      <c r="H9" s="2" t="n">
        <v>1</v>
      </c>
      <c r="I9" s="3" t="n">
        <v>6.7</v>
      </c>
      <c r="J9" s="4" t="n">
        <v>300</v>
      </c>
      <c r="K9" s="5" t="n">
        <f aca="false">H9*J9</f>
        <v>300</v>
      </c>
      <c r="L9" s="2" t="s">
        <v>63</v>
      </c>
      <c r="M9" s="2"/>
    </row>
    <row r="10" customFormat="false" ht="26.85" hidden="false" customHeight="false" outlineLevel="0" collapsed="false">
      <c r="A10" s="2" t="n">
        <v>10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68</v>
      </c>
      <c r="G10" s="2" t="s">
        <v>18</v>
      </c>
      <c r="H10" s="2" t="n">
        <v>1</v>
      </c>
      <c r="I10" s="3" t="n">
        <v>94</v>
      </c>
      <c r="J10" s="4" t="n">
        <v>900</v>
      </c>
      <c r="K10" s="5" t="n">
        <f aca="false">H10*J10</f>
        <v>900</v>
      </c>
      <c r="L10" s="2" t="s">
        <v>63</v>
      </c>
      <c r="M10" s="2" t="s">
        <v>73</v>
      </c>
    </row>
    <row r="11" customFormat="false" ht="26.85" hidden="false" customHeight="false" outlineLevel="0" collapsed="false">
      <c r="A11" s="2" t="n">
        <v>11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68</v>
      </c>
      <c r="G11" s="2" t="s">
        <v>18</v>
      </c>
      <c r="H11" s="2" t="n">
        <v>1</v>
      </c>
      <c r="I11" s="3" t="n">
        <v>36.1</v>
      </c>
      <c r="J11" s="4" t="n">
        <v>400</v>
      </c>
      <c r="K11" s="5" t="n">
        <f aca="false">H11*J11</f>
        <v>400</v>
      </c>
      <c r="L11" s="2" t="s">
        <v>78</v>
      </c>
      <c r="M11" s="2"/>
    </row>
    <row r="12" customFormat="false" ht="26.85" hidden="false" customHeight="false" outlineLevel="0" collapsed="false">
      <c r="A12" s="2" t="n">
        <v>12</v>
      </c>
      <c r="B12" s="2" t="s">
        <v>79</v>
      </c>
      <c r="C12" s="2" t="s">
        <v>80</v>
      </c>
      <c r="D12" s="2" t="s">
        <v>76</v>
      </c>
      <c r="E12" s="2" t="s">
        <v>81</v>
      </c>
      <c r="F12" s="2" t="s">
        <v>82</v>
      </c>
      <c r="G12" s="2" t="s">
        <v>6</v>
      </c>
      <c r="H12" s="2" t="n">
        <v>1</v>
      </c>
      <c r="I12" s="3" t="n">
        <v>40.5</v>
      </c>
      <c r="J12" s="4" t="n">
        <v>450</v>
      </c>
      <c r="K12" s="5" t="n">
        <f aca="false">H12*J12</f>
        <v>450</v>
      </c>
      <c r="L12" s="2" t="s">
        <v>83</v>
      </c>
      <c r="M12" s="2"/>
    </row>
    <row r="13" customFormat="false" ht="26.85" hidden="false" customHeight="false" outlineLevel="0" collapsed="false">
      <c r="A13" s="2" t="n">
        <v>13</v>
      </c>
      <c r="B13" s="2" t="s">
        <v>84</v>
      </c>
      <c r="C13" s="2" t="s">
        <v>85</v>
      </c>
      <c r="D13" s="2" t="s">
        <v>86</v>
      </c>
      <c r="E13" s="2" t="s">
        <v>72</v>
      </c>
      <c r="F13" s="2" t="s">
        <v>68</v>
      </c>
      <c r="G13" s="2" t="s">
        <v>18</v>
      </c>
      <c r="H13" s="2" t="n">
        <v>1</v>
      </c>
      <c r="I13" s="3" t="n">
        <v>76.7</v>
      </c>
      <c r="J13" s="4" t="n">
        <v>800</v>
      </c>
      <c r="K13" s="5" t="n">
        <f aca="false">H13*J13</f>
        <v>800</v>
      </c>
      <c r="L13" s="2" t="s">
        <v>63</v>
      </c>
      <c r="M13" s="2"/>
    </row>
    <row r="14" customFormat="false" ht="26.85" hidden="false" customHeight="false" outlineLevel="0" collapsed="false">
      <c r="A14" s="2" t="n">
        <v>14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6</v>
      </c>
      <c r="H14" s="2" t="n">
        <v>1</v>
      </c>
      <c r="I14" s="3" t="n">
        <v>78.5</v>
      </c>
      <c r="J14" s="4" t="n">
        <v>650</v>
      </c>
      <c r="K14" s="5" t="n">
        <f aca="false">H14*J14</f>
        <v>650</v>
      </c>
      <c r="L14" s="2" t="s">
        <v>92</v>
      </c>
      <c r="M14" s="2"/>
    </row>
    <row r="15" customFormat="false" ht="26.85" hidden="false" customHeight="false" outlineLevel="0" collapsed="false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26</v>
      </c>
      <c r="H15" s="2" t="n">
        <v>1</v>
      </c>
      <c r="I15" s="3" t="n">
        <v>2</v>
      </c>
      <c r="J15" s="4" t="n">
        <v>350</v>
      </c>
      <c r="K15" s="5" t="n">
        <f aca="false">H15*J15</f>
        <v>350</v>
      </c>
      <c r="L15" s="2" t="s">
        <v>99</v>
      </c>
      <c r="M15" s="2" t="s">
        <v>100</v>
      </c>
    </row>
    <row r="16" customFormat="false" ht="15" hidden="false" customHeight="false" outlineLevel="0" collapsed="false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102</v>
      </c>
      <c r="F16" s="2" t="s">
        <v>105</v>
      </c>
      <c r="G16" s="2" t="s">
        <v>26</v>
      </c>
      <c r="H16" s="2" t="n">
        <v>1</v>
      </c>
      <c r="I16" s="3" t="n">
        <v>0</v>
      </c>
      <c r="J16" s="4" t="n">
        <v>1500</v>
      </c>
      <c r="K16" s="5" t="n">
        <f aca="false">H16*J16</f>
        <v>1500</v>
      </c>
      <c r="L16" s="2" t="s">
        <v>106</v>
      </c>
      <c r="M16" s="2" t="s">
        <v>107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5" hidden="false" customHeight="false" outlineLevel="0" collapsed="false">
      <c r="A18" s="6"/>
      <c r="B18" s="6"/>
      <c r="C18" s="7" t="s">
        <v>108</v>
      </c>
      <c r="D18" s="6"/>
      <c r="E18" s="6"/>
      <c r="F18" s="6"/>
      <c r="G18" s="6"/>
      <c r="H18" s="6"/>
      <c r="I18" s="8" t="n">
        <f aca="false">SUM(I2:I5)+I8+I9+I15</f>
        <v>202.5</v>
      </c>
      <c r="J18" s="6"/>
      <c r="K18" s="6"/>
      <c r="L18" s="6"/>
      <c r="M18" s="6"/>
    </row>
    <row r="19" customFormat="false" ht="15" hidden="false" customHeight="false" outlineLevel="0" collapsed="false">
      <c r="A19" s="6"/>
      <c r="B19" s="6"/>
      <c r="C19" s="7" t="s">
        <v>109</v>
      </c>
      <c r="D19" s="6"/>
      <c r="E19" s="6"/>
      <c r="F19" s="6"/>
      <c r="G19" s="6"/>
      <c r="H19" s="6"/>
      <c r="I19" s="8" t="n">
        <f aca="false">SUM(I10:I14)</f>
        <v>325.8</v>
      </c>
      <c r="J19" s="6"/>
      <c r="K19" s="6"/>
      <c r="L19" s="6"/>
      <c r="M19" s="6"/>
    </row>
    <row r="20" customFormat="false" ht="15" hidden="false" customHeight="false" outlineLevel="0" collapsed="false">
      <c r="A20" s="6"/>
      <c r="B20" s="6"/>
      <c r="C20" s="7" t="s">
        <v>110</v>
      </c>
      <c r="D20" s="6"/>
      <c r="E20" s="6"/>
      <c r="F20" s="6"/>
      <c r="G20" s="6"/>
      <c r="H20" s="6"/>
      <c r="I20" s="6"/>
      <c r="J20" s="6"/>
      <c r="K20" s="9" t="n">
        <f aca="false">SUM(K2:K16)</f>
        <v>14900</v>
      </c>
      <c r="L20" s="6"/>
      <c r="M20" s="6"/>
    </row>
    <row r="21" customFormat="false" ht="15" hidden="false" customHeight="false" outlineLevel="0" collapsed="false">
      <c r="A21" s="6"/>
      <c r="B21" s="6"/>
      <c r="C21" s="7" t="s">
        <v>111</v>
      </c>
      <c r="D21" s="6"/>
      <c r="E21" s="6"/>
      <c r="F21" s="6"/>
      <c r="G21" s="6"/>
      <c r="H21" s="6"/>
      <c r="I21" s="6"/>
      <c r="J21" s="6"/>
      <c r="K21" s="10" t="n">
        <v>3</v>
      </c>
      <c r="L21" s="6"/>
      <c r="M21" s="6"/>
    </row>
    <row r="22" customFormat="false" ht="15" hidden="false" customHeight="false" outlineLevel="0" collapsed="false">
      <c r="A22" s="6"/>
      <c r="B22" s="6"/>
      <c r="C22" s="7" t="s">
        <v>112</v>
      </c>
      <c r="D22" s="6"/>
      <c r="E22" s="6"/>
      <c r="F22" s="6"/>
      <c r="G22" s="6"/>
      <c r="H22" s="6"/>
      <c r="I22" s="6"/>
      <c r="J22" s="6"/>
      <c r="K22" s="9" t="n">
        <f aca="false">K20*K21</f>
        <v>44700</v>
      </c>
      <c r="L22" s="6"/>
      <c r="M22" s="6"/>
    </row>
    <row r="23" customFormat="false" ht="15" hidden="false" customHeight="false" outlineLevel="0" collapsed="false">
      <c r="A23" s="6"/>
      <c r="B23" s="6"/>
      <c r="C23" s="7" t="s">
        <v>113</v>
      </c>
      <c r="D23" s="6"/>
      <c r="E23" s="6"/>
      <c r="F23" s="6"/>
      <c r="G23" s="6"/>
      <c r="H23" s="6"/>
      <c r="I23" s="6"/>
      <c r="J23" s="6"/>
      <c r="K23" s="11" t="n">
        <v>50000</v>
      </c>
      <c r="L23" s="6"/>
      <c r="M23" s="6"/>
    </row>
    <row r="24" customFormat="false" ht="15" hidden="false" customHeight="false" outlineLevel="0" collapsed="false">
      <c r="A24" s="6"/>
      <c r="B24" s="6"/>
      <c r="C24" s="7" t="s">
        <v>114</v>
      </c>
      <c r="D24" s="6"/>
      <c r="E24" s="6"/>
      <c r="F24" s="6"/>
      <c r="G24" s="6"/>
      <c r="H24" s="6"/>
      <c r="I24" s="6"/>
      <c r="J24" s="6"/>
      <c r="K24" s="7" t="str">
        <f aca="false">IF(K22&lt;=K23,"yes","no")</f>
        <v>yes</v>
      </c>
      <c r="L24" s="6"/>
      <c r="M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5" hidden="false" customHeight="false" outlineLevel="0" collapsed="false">
      <c r="A26" s="6"/>
      <c r="B26" s="6"/>
      <c r="C26" s="12" t="s">
        <v>115</v>
      </c>
      <c r="D26" s="6"/>
      <c r="E26" s="6"/>
      <c r="F26" s="6"/>
      <c r="G26" s="6"/>
      <c r="H26" s="6"/>
      <c r="I26" s="6"/>
      <c r="J26" s="6"/>
      <c r="K26" s="6"/>
      <c r="L26" s="6"/>
      <c r="M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customFormat="false" ht="39.55" hidden="false" customHeight="false" outlineLevel="0" collapsed="false">
      <c r="A2" s="2" t="s">
        <v>36</v>
      </c>
      <c r="B2" s="2" t="s">
        <v>121</v>
      </c>
      <c r="C2" s="2" t="s">
        <v>122</v>
      </c>
      <c r="D2" s="2" t="s">
        <v>123</v>
      </c>
      <c r="E2" s="2" t="s">
        <v>124</v>
      </c>
      <c r="F2" s="2" t="s">
        <v>125</v>
      </c>
    </row>
    <row r="3" customFormat="false" ht="39.55" hidden="false" customHeight="false" outlineLevel="0" collapsed="false">
      <c r="A3" s="2" t="s">
        <v>36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</row>
    <row r="4" customFormat="false" ht="39.55" hidden="false" customHeight="false" outlineLevel="0" collapsed="false">
      <c r="A4" s="2" t="s">
        <v>131</v>
      </c>
      <c r="B4" s="2" t="s">
        <v>132</v>
      </c>
      <c r="C4" s="2" t="s">
        <v>127</v>
      </c>
      <c r="D4" s="2" t="s">
        <v>133</v>
      </c>
      <c r="E4" s="2" t="s">
        <v>134</v>
      </c>
      <c r="F4" s="2" t="s">
        <v>135</v>
      </c>
    </row>
    <row r="5" customFormat="false" ht="26.85" hidden="false" customHeight="false" outlineLevel="0" collapsed="false">
      <c r="A5" s="2" t="s">
        <v>131</v>
      </c>
      <c r="B5" s="2" t="s">
        <v>136</v>
      </c>
      <c r="C5" s="2" t="s">
        <v>137</v>
      </c>
      <c r="D5" s="2" t="s">
        <v>138</v>
      </c>
      <c r="E5" s="2" t="s">
        <v>139</v>
      </c>
      <c r="F5" s="2" t="s">
        <v>140</v>
      </c>
    </row>
    <row r="6" customFormat="false" ht="26.85" hidden="false" customHeight="false" outlineLevel="0" collapsed="false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146</v>
      </c>
    </row>
    <row r="7" customFormat="false" ht="39.55" hidden="false" customHeight="false" outlineLevel="0" collapsed="false">
      <c r="A7" s="2" t="s">
        <v>147</v>
      </c>
      <c r="B7" s="2" t="s">
        <v>148</v>
      </c>
      <c r="C7" s="2" t="s">
        <v>149</v>
      </c>
      <c r="D7" s="2" t="s">
        <v>150</v>
      </c>
      <c r="E7" s="2" t="s">
        <v>151</v>
      </c>
      <c r="F7" s="2" t="s">
        <v>152</v>
      </c>
    </row>
    <row r="8" customFormat="false" ht="26.85" hidden="false" customHeight="false" outlineLevel="0" collapsed="false">
      <c r="A8" s="2" t="s">
        <v>153</v>
      </c>
      <c r="B8" s="2" t="s">
        <v>154</v>
      </c>
      <c r="C8" s="2" t="s">
        <v>137</v>
      </c>
      <c r="D8" s="2" t="s">
        <v>155</v>
      </c>
      <c r="E8" s="2" t="s">
        <v>156</v>
      </c>
      <c r="F8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158</v>
      </c>
      <c r="B1" s="1" t="s">
        <v>159</v>
      </c>
      <c r="C1" s="1" t="s">
        <v>117</v>
      </c>
      <c r="D1" s="1" t="s">
        <v>160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3" t="s">
        <v>163</v>
      </c>
      <c r="B2" s="13" t="s">
        <v>164</v>
      </c>
      <c r="C2" s="13" t="s">
        <v>165</v>
      </c>
      <c r="D2" s="13" t="s">
        <v>166</v>
      </c>
      <c r="E2" s="13" t="n">
        <v>1</v>
      </c>
      <c r="F2" s="13" t="s">
        <v>167</v>
      </c>
    </row>
    <row r="3" customFormat="false" ht="15" hidden="false" customHeight="false" outlineLevel="0" collapsed="false">
      <c r="A3" s="13" t="s">
        <v>168</v>
      </c>
      <c r="B3" s="13" t="s">
        <v>169</v>
      </c>
      <c r="C3" s="13" t="s">
        <v>170</v>
      </c>
      <c r="D3" s="13" t="s">
        <v>171</v>
      </c>
      <c r="E3" s="13" t="n">
        <v>1</v>
      </c>
      <c r="F3" s="13" t="s">
        <v>167</v>
      </c>
    </row>
    <row r="4" customFormat="false" ht="15" hidden="false" customHeight="false" outlineLevel="0" collapsed="false">
      <c r="A4" s="13" t="s">
        <v>172</v>
      </c>
      <c r="B4" s="13" t="s">
        <v>169</v>
      </c>
      <c r="C4" s="13" t="s">
        <v>173</v>
      </c>
      <c r="D4" s="13" t="s">
        <v>171</v>
      </c>
      <c r="E4" s="13" t="n">
        <v>1</v>
      </c>
      <c r="F4" s="13" t="s">
        <v>174</v>
      </c>
    </row>
    <row r="5" customFormat="false" ht="15" hidden="false" customHeight="false" outlineLevel="0" collapsed="false">
      <c r="A5" s="13" t="s">
        <v>175</v>
      </c>
      <c r="B5" s="13" t="s">
        <v>169</v>
      </c>
      <c r="C5" s="13" t="s">
        <v>176</v>
      </c>
      <c r="D5" s="13" t="s">
        <v>177</v>
      </c>
      <c r="E5" s="13" t="n">
        <v>1</v>
      </c>
      <c r="F5" s="13" t="s">
        <v>174</v>
      </c>
    </row>
    <row r="6" customFormat="false" ht="15" hidden="false" customHeight="false" outlineLevel="0" collapsed="false">
      <c r="A6" s="13" t="s">
        <v>178</v>
      </c>
      <c r="B6" s="13" t="s">
        <v>169</v>
      </c>
      <c r="C6" s="13" t="s">
        <v>179</v>
      </c>
      <c r="D6" s="13" t="s">
        <v>180</v>
      </c>
      <c r="E6" s="13" t="n">
        <v>1</v>
      </c>
      <c r="F6" s="13" t="s">
        <v>174</v>
      </c>
    </row>
    <row r="7" customFormat="false" ht="15" hidden="false" customHeight="false" outlineLevel="0" collapsed="false">
      <c r="A7" s="13" t="s">
        <v>181</v>
      </c>
      <c r="B7" s="13" t="s">
        <v>182</v>
      </c>
      <c r="C7" s="13" t="s">
        <v>183</v>
      </c>
      <c r="D7" s="13" t="s">
        <v>184</v>
      </c>
      <c r="E7" s="13" t="n">
        <v>2</v>
      </c>
      <c r="F7" s="13" t="s">
        <v>167</v>
      </c>
    </row>
    <row r="8" customFormat="false" ht="15" hidden="false" customHeight="false" outlineLevel="0" collapsed="false">
      <c r="A8" s="13" t="s">
        <v>185</v>
      </c>
      <c r="B8" s="13" t="s">
        <v>169</v>
      </c>
      <c r="C8" s="13" t="s">
        <v>186</v>
      </c>
      <c r="D8" s="13" t="s">
        <v>187</v>
      </c>
      <c r="E8" s="13" t="n">
        <v>1</v>
      </c>
      <c r="F8" s="13" t="s">
        <v>188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</row>
    <row r="10" customFormat="false" ht="15" hidden="false" customHeight="false" outlineLevel="0" collapsed="false">
      <c r="A10" s="12" t="s">
        <v>189</v>
      </c>
      <c r="B10" s="6"/>
      <c r="C10" s="6"/>
      <c r="D10" s="6"/>
      <c r="E10" s="6"/>
      <c r="F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190</v>
      </c>
      <c r="B1" s="1" t="s">
        <v>191</v>
      </c>
      <c r="C1" s="1" t="s">
        <v>192</v>
      </c>
      <c r="D1" s="1" t="s">
        <v>193</v>
      </c>
    </row>
    <row r="2" customFormat="false" ht="15" hidden="false" customHeight="false" outlineLevel="0" collapsed="false">
      <c r="A2" s="14" t="s">
        <v>194</v>
      </c>
      <c r="B2" s="10" t="n">
        <v>38.5</v>
      </c>
      <c r="C2" s="14" t="s">
        <v>195</v>
      </c>
      <c r="D2" s="14" t="s">
        <v>196</v>
      </c>
    </row>
    <row r="3" customFormat="false" ht="15" hidden="false" customHeight="false" outlineLevel="0" collapsed="false">
      <c r="A3" s="14" t="s">
        <v>197</v>
      </c>
      <c r="B3" s="10" t="n">
        <v>13</v>
      </c>
      <c r="C3" s="14" t="s">
        <v>195</v>
      </c>
      <c r="D3" s="14" t="s">
        <v>198</v>
      </c>
    </row>
    <row r="4" customFormat="false" ht="15" hidden="false" customHeight="false" outlineLevel="0" collapsed="false">
      <c r="A4" s="14" t="s">
        <v>199</v>
      </c>
      <c r="B4" s="10" t="n">
        <v>41.6</v>
      </c>
      <c r="C4" s="14" t="s">
        <v>195</v>
      </c>
      <c r="D4" s="14" t="s">
        <v>200</v>
      </c>
    </row>
    <row r="5" customFormat="false" ht="15" hidden="false" customHeight="false" outlineLevel="0" collapsed="false">
      <c r="A5" s="14" t="s">
        <v>201</v>
      </c>
      <c r="B5" s="10" t="n">
        <v>12.8</v>
      </c>
      <c r="C5" s="14" t="s">
        <v>195</v>
      </c>
      <c r="D5" s="14" t="s">
        <v>202</v>
      </c>
    </row>
    <row r="6" customFormat="false" ht="15" hidden="false" customHeight="false" outlineLevel="0" collapsed="false">
      <c r="A6" s="14" t="s">
        <v>203</v>
      </c>
      <c r="B6" s="10" t="n">
        <v>0.89</v>
      </c>
      <c r="C6" s="14" t="s">
        <v>204</v>
      </c>
      <c r="D6" s="14" t="s">
        <v>205</v>
      </c>
    </row>
    <row r="7" customFormat="false" ht="15" hidden="false" customHeight="false" outlineLevel="0" collapsed="false">
      <c r="A7" s="14" t="s">
        <v>206</v>
      </c>
      <c r="B7" s="10" t="n">
        <v>60</v>
      </c>
      <c r="C7" s="14" t="s">
        <v>207</v>
      </c>
      <c r="D7" s="14" t="s">
        <v>208</v>
      </c>
    </row>
    <row r="8" customFormat="false" ht="15" hidden="false" customHeight="false" outlineLevel="0" collapsed="false">
      <c r="A8" s="14" t="s">
        <v>209</v>
      </c>
      <c r="B8" s="10" t="n">
        <v>34</v>
      </c>
      <c r="C8" s="14" t="s">
        <v>210</v>
      </c>
      <c r="D8" s="14" t="s">
        <v>211</v>
      </c>
    </row>
    <row r="9" customFormat="false" ht="15" hidden="false" customHeight="false" outlineLevel="0" collapsed="false">
      <c r="A9" s="14" t="s">
        <v>212</v>
      </c>
      <c r="B9" s="10" t="n">
        <v>4</v>
      </c>
      <c r="C9" s="14" t="s">
        <v>207</v>
      </c>
      <c r="D9" s="14"/>
    </row>
    <row r="10" customFormat="false" ht="15" hidden="false" customHeight="false" outlineLevel="0" collapsed="false">
      <c r="A10" s="14" t="s">
        <v>213</v>
      </c>
      <c r="B10" s="10" t="n">
        <v>0.126</v>
      </c>
      <c r="C10" s="14" t="s">
        <v>214</v>
      </c>
      <c r="D10" s="14" t="s">
        <v>215</v>
      </c>
    </row>
    <row r="11" customFormat="false" ht="15" hidden="false" customHeight="false" outlineLevel="0" collapsed="false">
      <c r="A11" s="14" t="s">
        <v>216</v>
      </c>
      <c r="B11" s="10" t="n">
        <v>1.5</v>
      </c>
      <c r="C11" s="14" t="s">
        <v>217</v>
      </c>
      <c r="D11" s="14"/>
    </row>
    <row r="12" customFormat="false" ht="15" hidden="false" customHeight="false" outlineLevel="0" collapsed="false">
      <c r="A12" s="7" t="s">
        <v>218</v>
      </c>
      <c r="B12" s="15" t="n">
        <f aca="false">PI()/4*B2^2/1000000</f>
        <v>0.00116415642769587</v>
      </c>
      <c r="C12" s="14" t="s">
        <v>219</v>
      </c>
      <c r="D12" s="14"/>
    </row>
    <row r="13" customFormat="false" ht="15" hidden="false" customHeight="false" outlineLevel="0" collapsed="false">
      <c r="A13" s="7" t="s">
        <v>220</v>
      </c>
      <c r="B13" s="15" t="n">
        <f aca="false">((B7-B9)/(B8/10000)+1000*9.81*B10)/100000</f>
        <v>0.177066482352941</v>
      </c>
      <c r="C13" s="14" t="s">
        <v>217</v>
      </c>
      <c r="D13" s="14" t="s">
        <v>221</v>
      </c>
    </row>
    <row r="14" customFormat="false" ht="15" hidden="false" customHeight="false" outlineLevel="0" collapsed="false">
      <c r="A14" s="7" t="s">
        <v>222</v>
      </c>
      <c r="B14" s="15" t="n">
        <f aca="false">1/(B3*B6/25.4)*2444.9*14.504</f>
        <v>77848.3208159032</v>
      </c>
      <c r="C14" s="14" t="s">
        <v>223</v>
      </c>
      <c r="D14" s="14" t="s">
        <v>224</v>
      </c>
    </row>
    <row r="15" customFormat="false" ht="15" hidden="false" customHeight="false" outlineLevel="0" collapsed="false">
      <c r="A15" s="7" t="s">
        <v>225</v>
      </c>
      <c r="B15" s="15" t="n">
        <f aca="false">1/(B4*B6/25.4)*2444.9*14.504</f>
        <v>24327.6002549697</v>
      </c>
      <c r="C15" s="14" t="s">
        <v>223</v>
      </c>
      <c r="D15" s="14"/>
    </row>
    <row r="16" customFormat="false" ht="15" hidden="false" customHeight="false" outlineLevel="0" collapsed="false">
      <c r="A16" s="7" t="s">
        <v>226</v>
      </c>
      <c r="B16" s="15" t="n">
        <f aca="false">1/(B5*B6/25.4)*2444.9*14.504</f>
        <v>79064.7008286517</v>
      </c>
      <c r="C16" s="14" t="s">
        <v>223</v>
      </c>
      <c r="D16" s="14"/>
    </row>
    <row r="17" customFormat="false" ht="15" hidden="false" customHeight="false" outlineLevel="0" collapsed="false">
      <c r="A17" s="7" t="s">
        <v>227</v>
      </c>
      <c r="B17" s="15" t="n">
        <f aca="false">B14*B12*B13/60</f>
        <v>0.267451906996711</v>
      </c>
      <c r="C17" s="14" t="s">
        <v>228</v>
      </c>
      <c r="D17" s="14" t="s">
        <v>229</v>
      </c>
    </row>
    <row r="18" customFormat="false" ht="15" hidden="false" customHeight="false" outlineLevel="0" collapsed="false">
      <c r="A18" s="7" t="s">
        <v>230</v>
      </c>
      <c r="B18" s="15" t="n">
        <f aca="false">B15*B12*B13/60</f>
        <v>0.0835787209364723</v>
      </c>
      <c r="C18" s="14" t="s">
        <v>228</v>
      </c>
      <c r="D18" s="14"/>
    </row>
    <row r="19" customFormat="false" ht="15" hidden="false" customHeight="false" outlineLevel="0" collapsed="false">
      <c r="A19" s="7" t="s">
        <v>231</v>
      </c>
      <c r="B19" s="15" t="n">
        <f aca="false">B16*B12*B13/60</f>
        <v>0.271630843043535</v>
      </c>
      <c r="C19" s="14" t="s">
        <v>228</v>
      </c>
      <c r="D19" s="14"/>
    </row>
    <row r="20" customFormat="false" ht="15" hidden="false" customHeight="false" outlineLevel="0" collapsed="false">
      <c r="A20" s="7" t="s">
        <v>232</v>
      </c>
      <c r="B20" s="15" t="n">
        <f aca="false">0.5/B17*60</f>
        <v>112.169699355963</v>
      </c>
      <c r="C20" s="14" t="s">
        <v>233</v>
      </c>
      <c r="D20" s="14"/>
    </row>
    <row r="21" customFormat="false" ht="15" hidden="false" customHeight="false" outlineLevel="0" collapsed="false">
      <c r="A21" s="7" t="s">
        <v>234</v>
      </c>
      <c r="B21" s="15" t="n">
        <f aca="false">B14*B12*B11/60</f>
        <v>2.26569057657909</v>
      </c>
      <c r="C21" s="14" t="s">
        <v>228</v>
      </c>
      <c r="D2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2026-10-24T14:18:32Z</dcterms:created>
  <dc:creator>openpyxl</dc:creator>
  <dc:description/>
  <dc:language>en-US</dc:language>
  <cp:lastModifiedBy/>
  <dcterms:modified xsi:type="dcterms:W3CDTF">2026-10-24T14:18:32Z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