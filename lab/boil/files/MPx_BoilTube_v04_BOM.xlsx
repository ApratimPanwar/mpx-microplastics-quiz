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29" authorId="0">
      <text>
        <r>
          <rPr>
            <sz val="10"/>
            <rFont val="Arial"/>
            <family val="2"/>
          </rPr>
          <t xml:space="preserve">Req 16.4: BOM 30–40% of retail.</t>
        </r>
      </text>
    </comment>
  </commentList>
</comments>
</file>

<file path=xl/sharedStrings.xml><?xml version="1.0" encoding="utf-8"?>
<sst xmlns="http://schemas.openxmlformats.org/spreadsheetml/2006/main" count="137" uniqueCount="93">
  <si>
    <t xml:space="preserve">MPx Boil-Tube v0.4 · parts list (prototype now, product later)</t>
  </si>
  <si>
    <t xml:space="preserve">Blue = inputs you can change; black = formulas. Prices in ₹ incl. GST, Oct 2026 estimates — get quotes. Example row: row 5.</t>
  </si>
  <si>
    <t xml:space="preserve">#</t>
  </si>
  <si>
    <t xml:space="preserve">Group</t>
  </si>
  <si>
    <t xml:space="preserve">Part</t>
  </si>
  <si>
    <t xml:space="preserve">Prototype version (stock part)</t>
  </si>
  <si>
    <t xml:space="preserve">Product version (custom)</t>
  </si>
  <si>
    <t xml:space="preserve">Wetted?</t>
  </si>
  <si>
    <t xml:space="preserve">Qty</t>
  </si>
  <si>
    <t xml:space="preserve">Proto unit ₹</t>
  </si>
  <si>
    <t xml:space="preserve">Proto line ₹</t>
  </si>
  <si>
    <t xml:space="preserve">Product unit ₹ @1k</t>
  </si>
  <si>
    <t xml:space="preserve">Product line ₹</t>
  </si>
  <si>
    <t xml:space="preserve">Where to buy (India)</t>
  </si>
  <si>
    <t xml:space="preserve">Water path</t>
  </si>
  <si>
    <t xml:space="preserve">Boil cell 60 mL</t>
  </si>
  <si>
    <t xml:space="preserve">1.5" SS316 tri-clamp spool 100 mm + 2 end caps (heater boss, outlet) + clamps</t>
  </si>
  <si>
    <t xml:space="preserve">Deep-drawn SS316 cup with welded bosses</t>
  </si>
  <si>
    <t xml:space="preserve">Hot</t>
  </si>
  <si>
    <t xml:space="preserve">IndiaMART dairy/pharma fittings; Peenya welder</t>
  </si>
  <si>
    <t xml:space="preserve">Inner tube</t>
  </si>
  <si>
    <t xml:space="preserve">3/16" × 0.020" SS316L, 3.8 m (coil 2.4 m + body coil 1.2 m + links)</t>
  </si>
  <si>
    <t xml:space="preserve">Same, brazed joints</t>
  </si>
  <si>
    <t xml:space="preserve">Mumbai instrumentation-tube stockists</t>
  </si>
  <si>
    <t xml:space="preserve">Outer tube</t>
  </si>
  <si>
    <t xml:space="preserve">3/8" × 0.035" SS316L, 2.4 m</t>
  </si>
  <si>
    <t xml:space="preserve">Same</t>
  </si>
  <si>
    <t xml:space="preserve">Cold</t>
  </si>
  <si>
    <t xml:space="preserve">As above</t>
  </si>
  <si>
    <t xml:space="preserve">Coil end tees</t>
  </si>
  <si>
    <t xml:space="preserve">3/8" × 3/16" bored-through tees, twin-ferrule</t>
  </si>
  <si>
    <t xml:space="preserve">Brazed manifold ends</t>
  </si>
  <si>
    <t xml:space="preserve">Both</t>
  </si>
  <si>
    <t xml:space="preserve">Twin-ferrule makers via IndiaMART</t>
  </si>
  <si>
    <t xml:space="preserve">Compression fittings</t>
  </si>
  <si>
    <t xml:space="preserve">1/4"-class unions/elbows, twin-ferrule</t>
  </si>
  <si>
    <t xml:space="preserve">Brazed</t>
  </si>
  <si>
    <t xml:space="preserve">Wax gate valve</t>
  </si>
  <si>
    <t xml:space="preserve">Car-engine thermostat (~88–92 °C) in a 2" tri-clamp housing</t>
  </si>
  <si>
    <t xml:space="preserve">Small wax-element cartridge, ~95 °C</t>
  </si>
  <si>
    <t xml:space="preserve">Auto-parts market; wax-element makers</t>
  </si>
  <si>
    <t xml:space="preserve">Catcher</t>
  </si>
  <si>
    <t xml:space="preserve">1.5" tri-clamp screen gasket, 300–500 mesh</t>
  </si>
  <si>
    <t xml:space="preserve">25 µm SS316 mesh candle</t>
  </si>
  <si>
    <t xml:space="preserve">Dairy fittings / mesh weavers</t>
  </si>
  <si>
    <t xml:space="preserve">Needle valve + spout</t>
  </si>
  <si>
    <t xml:space="preserve">1/8" SS needle valve, SS nozzle</t>
  </si>
  <si>
    <t xml:space="preserve">Moulded-in SS orifice + knob</t>
  </si>
  <si>
    <t xml:space="preserve">Instrumentation supplier</t>
  </si>
  <si>
    <t xml:space="preserve">Reservoir</t>
  </si>
  <si>
    <t xml:space="preserve">1 L glass aspirator bottle + glass/SS Mariotte tube</t>
  </si>
  <si>
    <t xml:space="preserve">0.6 L borosilicate cup + SS air tube + lid</t>
  </si>
  <si>
    <t xml:space="preserve">Lab glassware suppliers / Borosil</t>
  </si>
  <si>
    <t xml:space="preserve">Seals</t>
  </si>
  <si>
    <t xml:space="preserve">Food-grade silicone gaskets</t>
  </si>
  <si>
    <t xml:space="preserve">IndiaMART</t>
  </si>
  <si>
    <t xml:space="preserve">Heat and electrics</t>
  </si>
  <si>
    <t xml:space="preserve">Heater</t>
  </si>
  <si>
    <t xml:space="preserve">24 V 60 W cartridge (bench)</t>
  </si>
  <si>
    <t xml:space="preserve">20 V 60 W cartridge in SS thermowell</t>
  </si>
  <si>
    <t xml:space="preserve">—</t>
  </si>
  <si>
    <t xml:space="preserve">Robu.in</t>
  </si>
  <si>
    <t xml:space="preserve">Thermowell</t>
  </si>
  <si>
    <t xml:space="preserve">SS316 Ø8 closed tube</t>
  </si>
  <si>
    <t xml:space="preserve">Peenya</t>
  </si>
  <si>
    <t xml:space="preserve">Cut-offs</t>
  </si>
  <si>
    <t xml:space="preserve">KSD301 130 °C + TCO 152 °C</t>
  </si>
  <si>
    <t xml:space="preserve">Power in</t>
  </si>
  <si>
    <t xml:space="preserve">24 V 3 A DC adapter + rocker + 5 A fuse</t>
  </si>
  <si>
    <t xml:space="preserve">USB-C PD trigger (20 V) + rocker + fuse</t>
  </si>
  <si>
    <t xml:space="preserve">Body and handling</t>
  </si>
  <si>
    <t xml:space="preserve">Shell + fins</t>
  </si>
  <si>
    <t xml:space="preserve">Finned Al heat-sink tube or fin strip, coil clamped inside</t>
  </si>
  <si>
    <t xml:space="preserve">Al 6063 extrusion, Ø90, shallow fins</t>
  </si>
  <si>
    <t xml:space="preserve">SP Road / extruders</t>
  </si>
  <si>
    <t xml:space="preserve">Insulation</t>
  </si>
  <si>
    <t xml:space="preserve">Aerogel wrap for the cell</t>
  </si>
  <si>
    <t xml:space="preserve">Base + cap</t>
  </si>
  <si>
    <t xml:space="preserve">3D-printed ASA</t>
  </si>
  <si>
    <t xml:space="preserve">PC/ABS mouldings</t>
  </si>
  <si>
    <t xml:space="preserve">Lab printer / moulder</t>
  </si>
  <si>
    <t xml:space="preserve">Test thermometers</t>
  </si>
  <si>
    <t xml:space="preserve">2 bimetal dial thermometers</t>
  </si>
  <si>
    <t xml:space="preserve">Not in product</t>
  </si>
  <si>
    <t xml:space="preserve">Sundries</t>
  </si>
  <si>
    <t xml:space="preserve">Fasteners, sealant, welding</t>
  </si>
  <si>
    <t xml:space="preserve">Assembly sundries</t>
  </si>
  <si>
    <t xml:space="preserve">Total</t>
  </si>
  <si>
    <t xml:space="preserve">Assembly + test + packing</t>
  </si>
  <si>
    <t xml:space="preserve">BOM-to-retail ratio</t>
  </si>
  <si>
    <t xml:space="preserve">Implied retail ₹</t>
  </si>
  <si>
    <t xml:space="preserve">Quiz WTP band ₹ (req 16.1)</t>
  </si>
  <si>
    <t xml:space="preserve">1,500–5,000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</si>
</sst>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#,##0"/>
    <numFmt numFmtId="16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D2433"/>
        <bgColor rgb="FF333300"/>
      </patternFill>
    </fill>
    <fill>
      <patternFill patternType="solid">
        <fgColor rgb="FFE9EDF0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9ED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24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38"/>
    <col collapsed="false" customWidth="true" hidden="false" outlineLevel="0" max="6" min="6" style="0" width="9"/>
    <col collapsed="false" customWidth="true" hidden="false" outlineLevel="0" max="7" min="7" style="0" width="5"/>
    <col collapsed="false" customWidth="true" hidden="false" outlineLevel="0" max="9" min="8" style="0" width="11"/>
    <col collapsed="false" customWidth="true" hidden="false" outlineLevel="0" max="11" min="10" style="0" width="12"/>
    <col collapsed="false" customWidth="true" hidden="false" outlineLevel="0" max="12" min="12" style="0" width="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6.8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5" hidden="false" customHeight="false" outlineLevel="0" collapsed="false">
      <c r="A4" s="4"/>
      <c r="B4" s="5" t="s">
        <v>14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26.85" hidden="false" customHeight="false" outlineLevel="0" collapsed="false">
      <c r="A5" s="6" t="n">
        <v>1</v>
      </c>
      <c r="B5" s="6" t="s">
        <v>14</v>
      </c>
      <c r="C5" s="6" t="s">
        <v>15</v>
      </c>
      <c r="D5" s="6" t="s">
        <v>16</v>
      </c>
      <c r="E5" s="6" t="s">
        <v>17</v>
      </c>
      <c r="F5" s="6" t="s">
        <v>18</v>
      </c>
      <c r="G5" s="7" t="n">
        <v>1</v>
      </c>
      <c r="H5" s="8" t="n">
        <v>1500</v>
      </c>
      <c r="I5" s="9" t="n">
        <f aca="false">G5*H5</f>
        <v>1500</v>
      </c>
      <c r="J5" s="8" t="n">
        <v>180</v>
      </c>
      <c r="K5" s="9" t="n">
        <f aca="false">G5*J5</f>
        <v>180</v>
      </c>
      <c r="L5" s="6" t="s">
        <v>19</v>
      </c>
    </row>
    <row r="6" customFormat="false" ht="26.85" hidden="false" customHeight="false" outlineLevel="0" collapsed="false">
      <c r="A6" s="6" t="n">
        <v>2</v>
      </c>
      <c r="B6" s="6" t="s">
        <v>14</v>
      </c>
      <c r="C6" s="6" t="s">
        <v>20</v>
      </c>
      <c r="D6" s="6" t="s">
        <v>21</v>
      </c>
      <c r="E6" s="6" t="s">
        <v>22</v>
      </c>
      <c r="F6" s="6" t="s">
        <v>18</v>
      </c>
      <c r="G6" s="7" t="n">
        <v>3.8</v>
      </c>
      <c r="H6" s="8" t="n">
        <v>250</v>
      </c>
      <c r="I6" s="9" t="n">
        <f aca="false">G6*H6</f>
        <v>950</v>
      </c>
      <c r="J6" s="8" t="n">
        <v>45</v>
      </c>
      <c r="K6" s="9" t="n">
        <f aca="false">G6*J6</f>
        <v>171</v>
      </c>
      <c r="L6" s="6" t="s">
        <v>23</v>
      </c>
    </row>
    <row r="7" customFormat="false" ht="15" hidden="false" customHeight="false" outlineLevel="0" collapsed="false">
      <c r="A7" s="6" t="n">
        <v>3</v>
      </c>
      <c r="B7" s="6" t="s">
        <v>14</v>
      </c>
      <c r="C7" s="6" t="s">
        <v>24</v>
      </c>
      <c r="D7" s="6" t="s">
        <v>25</v>
      </c>
      <c r="E7" s="6" t="s">
        <v>26</v>
      </c>
      <c r="F7" s="6" t="s">
        <v>27</v>
      </c>
      <c r="G7" s="7" t="n">
        <v>2.4</v>
      </c>
      <c r="H7" s="8" t="n">
        <v>550</v>
      </c>
      <c r="I7" s="9" t="n">
        <f aca="false">G7*H7</f>
        <v>1320</v>
      </c>
      <c r="J7" s="8" t="n">
        <v>80</v>
      </c>
      <c r="K7" s="9" t="n">
        <f aca="false">G7*J7</f>
        <v>192</v>
      </c>
      <c r="L7" s="6" t="s">
        <v>28</v>
      </c>
    </row>
    <row r="8" customFormat="false" ht="26.85" hidden="false" customHeight="false" outlineLevel="0" collapsed="false">
      <c r="A8" s="6" t="n">
        <v>4</v>
      </c>
      <c r="B8" s="6" t="s">
        <v>14</v>
      </c>
      <c r="C8" s="6" t="s">
        <v>29</v>
      </c>
      <c r="D8" s="6" t="s">
        <v>30</v>
      </c>
      <c r="E8" s="6" t="s">
        <v>31</v>
      </c>
      <c r="F8" s="6" t="s">
        <v>32</v>
      </c>
      <c r="G8" s="7" t="n">
        <v>2</v>
      </c>
      <c r="H8" s="8" t="n">
        <v>900</v>
      </c>
      <c r="I8" s="9" t="n">
        <f aca="false">G8*H8</f>
        <v>1800</v>
      </c>
      <c r="J8" s="8" t="n">
        <v>60</v>
      </c>
      <c r="K8" s="9" t="n">
        <f aca="false">G8*J8</f>
        <v>120</v>
      </c>
      <c r="L8" s="6" t="s">
        <v>33</v>
      </c>
    </row>
    <row r="9" customFormat="false" ht="15" hidden="false" customHeight="false" outlineLevel="0" collapsed="false">
      <c r="A9" s="6" t="n">
        <v>5</v>
      </c>
      <c r="B9" s="6" t="s">
        <v>14</v>
      </c>
      <c r="C9" s="6" t="s">
        <v>34</v>
      </c>
      <c r="D9" s="6" t="s">
        <v>35</v>
      </c>
      <c r="E9" s="6" t="s">
        <v>36</v>
      </c>
      <c r="F9" s="6" t="s">
        <v>32</v>
      </c>
      <c r="G9" s="7" t="n">
        <v>6</v>
      </c>
      <c r="H9" s="8" t="n">
        <v>170</v>
      </c>
      <c r="I9" s="9" t="n">
        <f aca="false">G9*H9</f>
        <v>1020</v>
      </c>
      <c r="J9" s="8" t="n">
        <v>10</v>
      </c>
      <c r="K9" s="9" t="n">
        <f aca="false">G9*J9</f>
        <v>60</v>
      </c>
      <c r="L9" s="6" t="s">
        <v>28</v>
      </c>
    </row>
    <row r="10" customFormat="false" ht="26.85" hidden="false" customHeight="false" outlineLevel="0" collapsed="false">
      <c r="A10" s="6" t="n">
        <v>6</v>
      </c>
      <c r="B10" s="6" t="s">
        <v>14</v>
      </c>
      <c r="C10" s="6" t="s">
        <v>37</v>
      </c>
      <c r="D10" s="6" t="s">
        <v>38</v>
      </c>
      <c r="E10" s="6" t="s">
        <v>39</v>
      </c>
      <c r="F10" s="6" t="s">
        <v>18</v>
      </c>
      <c r="G10" s="7" t="n">
        <v>1</v>
      </c>
      <c r="H10" s="8" t="n">
        <v>400</v>
      </c>
      <c r="I10" s="9" t="n">
        <f aca="false">G10*H10</f>
        <v>400</v>
      </c>
      <c r="J10" s="8" t="n">
        <v>150</v>
      </c>
      <c r="K10" s="9" t="n">
        <f aca="false">G10*J10</f>
        <v>150</v>
      </c>
      <c r="L10" s="6" t="s">
        <v>40</v>
      </c>
    </row>
    <row r="11" customFormat="false" ht="26.85" hidden="false" customHeight="false" outlineLevel="0" collapsed="false">
      <c r="A11" s="6" t="n">
        <v>7</v>
      </c>
      <c r="B11" s="6" t="s">
        <v>14</v>
      </c>
      <c r="C11" s="6" t="s">
        <v>41</v>
      </c>
      <c r="D11" s="6" t="s">
        <v>42</v>
      </c>
      <c r="E11" s="6" t="s">
        <v>43</v>
      </c>
      <c r="F11" s="6" t="s">
        <v>18</v>
      </c>
      <c r="G11" s="7" t="n">
        <v>1</v>
      </c>
      <c r="H11" s="8" t="n">
        <v>600</v>
      </c>
      <c r="I11" s="9" t="n">
        <f aca="false">G11*H11</f>
        <v>600</v>
      </c>
      <c r="J11" s="8" t="n">
        <v>70</v>
      </c>
      <c r="K11" s="9" t="n">
        <f aca="false">G11*J11</f>
        <v>70</v>
      </c>
      <c r="L11" s="6" t="s">
        <v>44</v>
      </c>
    </row>
    <row r="12" customFormat="false" ht="15" hidden="false" customHeight="false" outlineLevel="0" collapsed="false">
      <c r="A12" s="6" t="n">
        <v>8</v>
      </c>
      <c r="B12" s="6" t="s">
        <v>14</v>
      </c>
      <c r="C12" s="6" t="s">
        <v>45</v>
      </c>
      <c r="D12" s="6" t="s">
        <v>46</v>
      </c>
      <c r="E12" s="6" t="s">
        <v>47</v>
      </c>
      <c r="F12" s="6" t="s">
        <v>27</v>
      </c>
      <c r="G12" s="7" t="n">
        <v>1</v>
      </c>
      <c r="H12" s="8" t="n">
        <v>1200</v>
      </c>
      <c r="I12" s="9" t="n">
        <f aca="false">G12*H12</f>
        <v>1200</v>
      </c>
      <c r="J12" s="8" t="n">
        <v>150</v>
      </c>
      <c r="K12" s="9" t="n">
        <f aca="false">G12*J12</f>
        <v>150</v>
      </c>
      <c r="L12" s="6" t="s">
        <v>48</v>
      </c>
    </row>
    <row r="13" customFormat="false" ht="26.85" hidden="false" customHeight="false" outlineLevel="0" collapsed="false">
      <c r="A13" s="6" t="n">
        <v>9</v>
      </c>
      <c r="B13" s="6" t="s">
        <v>14</v>
      </c>
      <c r="C13" s="6" t="s">
        <v>49</v>
      </c>
      <c r="D13" s="6" t="s">
        <v>50</v>
      </c>
      <c r="E13" s="6" t="s">
        <v>51</v>
      </c>
      <c r="F13" s="6" t="s">
        <v>27</v>
      </c>
      <c r="G13" s="7" t="n">
        <v>1</v>
      </c>
      <c r="H13" s="8" t="n">
        <v>700</v>
      </c>
      <c r="I13" s="9" t="n">
        <f aca="false">G13*H13</f>
        <v>700</v>
      </c>
      <c r="J13" s="8" t="n">
        <v>200</v>
      </c>
      <c r="K13" s="9" t="n">
        <f aca="false">G13*J13</f>
        <v>200</v>
      </c>
      <c r="L13" s="6" t="s">
        <v>52</v>
      </c>
    </row>
    <row r="14" customFormat="false" ht="15" hidden="false" customHeight="false" outlineLevel="0" collapsed="false">
      <c r="A14" s="6" t="n">
        <v>10</v>
      </c>
      <c r="B14" s="6" t="s">
        <v>14</v>
      </c>
      <c r="C14" s="6" t="s">
        <v>53</v>
      </c>
      <c r="D14" s="6" t="s">
        <v>54</v>
      </c>
      <c r="E14" s="6" t="s">
        <v>26</v>
      </c>
      <c r="F14" s="6" t="s">
        <v>27</v>
      </c>
      <c r="G14" s="7" t="n">
        <v>1</v>
      </c>
      <c r="H14" s="8" t="n">
        <v>200</v>
      </c>
      <c r="I14" s="9" t="n">
        <f aca="false">G14*H14</f>
        <v>200</v>
      </c>
      <c r="J14" s="8" t="n">
        <v>30</v>
      </c>
      <c r="K14" s="9" t="n">
        <f aca="false">G14*J14</f>
        <v>30</v>
      </c>
      <c r="L14" s="6" t="s">
        <v>55</v>
      </c>
    </row>
    <row r="15" customFormat="false" ht="15" hidden="false" customHeight="false" outlineLevel="0" collapsed="false">
      <c r="A15" s="4"/>
      <c r="B15" s="5" t="s">
        <v>56</v>
      </c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26.85" hidden="false" customHeight="false" outlineLevel="0" collapsed="false">
      <c r="A16" s="6" t="n">
        <v>11</v>
      </c>
      <c r="B16" s="6" t="s">
        <v>56</v>
      </c>
      <c r="C16" s="6" t="s">
        <v>57</v>
      </c>
      <c r="D16" s="6" t="s">
        <v>58</v>
      </c>
      <c r="E16" s="6" t="s">
        <v>59</v>
      </c>
      <c r="F16" s="6" t="s">
        <v>60</v>
      </c>
      <c r="G16" s="7" t="n">
        <v>1</v>
      </c>
      <c r="H16" s="8" t="n">
        <v>250</v>
      </c>
      <c r="I16" s="9" t="n">
        <f aca="false">G16*H16</f>
        <v>250</v>
      </c>
      <c r="J16" s="8" t="n">
        <v>120</v>
      </c>
      <c r="K16" s="9" t="n">
        <f aca="false">G16*J16</f>
        <v>120</v>
      </c>
      <c r="L16" s="6" t="s">
        <v>61</v>
      </c>
    </row>
    <row r="17" customFormat="false" ht="26.85" hidden="false" customHeight="false" outlineLevel="0" collapsed="false">
      <c r="A17" s="6" t="n">
        <v>12</v>
      </c>
      <c r="B17" s="6" t="s">
        <v>56</v>
      </c>
      <c r="C17" s="6" t="s">
        <v>62</v>
      </c>
      <c r="D17" s="6" t="s">
        <v>63</v>
      </c>
      <c r="E17" s="6" t="s">
        <v>26</v>
      </c>
      <c r="F17" s="6" t="s">
        <v>18</v>
      </c>
      <c r="G17" s="7" t="n">
        <v>1</v>
      </c>
      <c r="H17" s="8" t="n">
        <v>400</v>
      </c>
      <c r="I17" s="9" t="n">
        <f aca="false">G17*H17</f>
        <v>400</v>
      </c>
      <c r="J17" s="8" t="n">
        <v>40</v>
      </c>
      <c r="K17" s="9" t="n">
        <f aca="false">G17*J17</f>
        <v>40</v>
      </c>
      <c r="L17" s="6" t="s">
        <v>64</v>
      </c>
    </row>
    <row r="18" customFormat="false" ht="26.85" hidden="false" customHeight="false" outlineLevel="0" collapsed="false">
      <c r="A18" s="6" t="n">
        <v>13</v>
      </c>
      <c r="B18" s="6" t="s">
        <v>56</v>
      </c>
      <c r="C18" s="6" t="s">
        <v>65</v>
      </c>
      <c r="D18" s="6" t="s">
        <v>66</v>
      </c>
      <c r="E18" s="6" t="s">
        <v>26</v>
      </c>
      <c r="F18" s="6" t="s">
        <v>60</v>
      </c>
      <c r="G18" s="7" t="n">
        <v>1</v>
      </c>
      <c r="H18" s="8" t="n">
        <v>100</v>
      </c>
      <c r="I18" s="9" t="n">
        <f aca="false">G18*H18</f>
        <v>100</v>
      </c>
      <c r="J18" s="8" t="n">
        <v>25</v>
      </c>
      <c r="K18" s="9" t="n">
        <f aca="false">G18*J18</f>
        <v>25</v>
      </c>
      <c r="L18" s="6" t="s">
        <v>61</v>
      </c>
    </row>
    <row r="19" customFormat="false" ht="26.85" hidden="false" customHeight="false" outlineLevel="0" collapsed="false">
      <c r="A19" s="6" t="n">
        <v>14</v>
      </c>
      <c r="B19" s="6" t="s">
        <v>56</v>
      </c>
      <c r="C19" s="6" t="s">
        <v>67</v>
      </c>
      <c r="D19" s="6" t="s">
        <v>68</v>
      </c>
      <c r="E19" s="6" t="s">
        <v>69</v>
      </c>
      <c r="F19" s="6" t="s">
        <v>60</v>
      </c>
      <c r="G19" s="7" t="n">
        <v>1</v>
      </c>
      <c r="H19" s="8" t="n">
        <v>750</v>
      </c>
      <c r="I19" s="9" t="n">
        <f aca="false">G19*H19</f>
        <v>750</v>
      </c>
      <c r="J19" s="8" t="n">
        <v>110</v>
      </c>
      <c r="K19" s="9" t="n">
        <f aca="false">G19*J19</f>
        <v>110</v>
      </c>
      <c r="L19" s="6" t="s">
        <v>61</v>
      </c>
    </row>
    <row r="20" customFormat="false" ht="15" hidden="false" customHeight="false" outlineLevel="0" collapsed="false">
      <c r="A20" s="4"/>
      <c r="B20" s="5" t="s">
        <v>70</v>
      </c>
      <c r="C20" s="4"/>
      <c r="D20" s="4"/>
      <c r="E20" s="4"/>
      <c r="F20" s="4"/>
      <c r="G20" s="4"/>
      <c r="H20" s="4"/>
      <c r="I20" s="4"/>
      <c r="J20" s="4"/>
      <c r="K20" s="4"/>
      <c r="L20" s="4"/>
    </row>
    <row r="21" customFormat="false" ht="26.85" hidden="false" customHeight="false" outlineLevel="0" collapsed="false">
      <c r="A21" s="6" t="n">
        <v>15</v>
      </c>
      <c r="B21" s="6" t="s">
        <v>70</v>
      </c>
      <c r="C21" s="6" t="s">
        <v>71</v>
      </c>
      <c r="D21" s="6" t="s">
        <v>72</v>
      </c>
      <c r="E21" s="6" t="s">
        <v>73</v>
      </c>
      <c r="F21" s="6" t="s">
        <v>60</v>
      </c>
      <c r="G21" s="7" t="n">
        <v>1</v>
      </c>
      <c r="H21" s="8" t="n">
        <v>900</v>
      </c>
      <c r="I21" s="9" t="n">
        <f aca="false">G21*H21</f>
        <v>900</v>
      </c>
      <c r="J21" s="8" t="n">
        <v>220</v>
      </c>
      <c r="K21" s="9" t="n">
        <f aca="false">G21*J21</f>
        <v>220</v>
      </c>
      <c r="L21" s="6" t="s">
        <v>74</v>
      </c>
    </row>
    <row r="22" customFormat="false" ht="26.85" hidden="false" customHeight="false" outlineLevel="0" collapsed="false">
      <c r="A22" s="6" t="n">
        <v>16</v>
      </c>
      <c r="B22" s="6" t="s">
        <v>70</v>
      </c>
      <c r="C22" s="6" t="s">
        <v>75</v>
      </c>
      <c r="D22" s="6" t="s">
        <v>76</v>
      </c>
      <c r="E22" s="6" t="s">
        <v>26</v>
      </c>
      <c r="F22" s="6" t="s">
        <v>60</v>
      </c>
      <c r="G22" s="7" t="n">
        <v>1</v>
      </c>
      <c r="H22" s="8" t="n">
        <v>600</v>
      </c>
      <c r="I22" s="9" t="n">
        <f aca="false">G22*H22</f>
        <v>600</v>
      </c>
      <c r="J22" s="8" t="n">
        <v>40</v>
      </c>
      <c r="K22" s="9" t="n">
        <f aca="false">G22*J22</f>
        <v>40</v>
      </c>
      <c r="L22" s="6" t="s">
        <v>55</v>
      </c>
    </row>
    <row r="23" customFormat="false" ht="26.85" hidden="false" customHeight="false" outlineLevel="0" collapsed="false">
      <c r="A23" s="6" t="n">
        <v>17</v>
      </c>
      <c r="B23" s="6" t="s">
        <v>70</v>
      </c>
      <c r="C23" s="6" t="s">
        <v>77</v>
      </c>
      <c r="D23" s="6" t="s">
        <v>78</v>
      </c>
      <c r="E23" s="6" t="s">
        <v>79</v>
      </c>
      <c r="F23" s="6" t="s">
        <v>60</v>
      </c>
      <c r="G23" s="7" t="n">
        <v>1</v>
      </c>
      <c r="H23" s="8" t="n">
        <v>800</v>
      </c>
      <c r="I23" s="9" t="n">
        <f aca="false">G23*H23</f>
        <v>800</v>
      </c>
      <c r="J23" s="8" t="n">
        <v>120</v>
      </c>
      <c r="K23" s="9" t="n">
        <f aca="false">G23*J23</f>
        <v>120</v>
      </c>
      <c r="L23" s="6" t="s">
        <v>80</v>
      </c>
    </row>
    <row r="24" customFormat="false" ht="26.85" hidden="false" customHeight="false" outlineLevel="0" collapsed="false">
      <c r="A24" s="6" t="n">
        <v>18</v>
      </c>
      <c r="B24" s="6" t="s">
        <v>70</v>
      </c>
      <c r="C24" s="6" t="s">
        <v>81</v>
      </c>
      <c r="D24" s="6" t="s">
        <v>82</v>
      </c>
      <c r="E24" s="6" t="s">
        <v>83</v>
      </c>
      <c r="F24" s="6" t="s">
        <v>60</v>
      </c>
      <c r="G24" s="7" t="n">
        <v>2</v>
      </c>
      <c r="H24" s="8" t="n">
        <v>400</v>
      </c>
      <c r="I24" s="9" t="n">
        <f aca="false">G24*H24</f>
        <v>800</v>
      </c>
      <c r="J24" s="8" t="n">
        <v>0</v>
      </c>
      <c r="K24" s="9" t="n">
        <f aca="false">G24*J24</f>
        <v>0</v>
      </c>
      <c r="L24" s="6" t="s">
        <v>55</v>
      </c>
    </row>
    <row r="25" customFormat="false" ht="26.85" hidden="false" customHeight="false" outlineLevel="0" collapsed="false">
      <c r="A25" s="6" t="n">
        <v>19</v>
      </c>
      <c r="B25" s="6" t="s">
        <v>70</v>
      </c>
      <c r="C25" s="6" t="s">
        <v>84</v>
      </c>
      <c r="D25" s="6" t="s">
        <v>85</v>
      </c>
      <c r="E25" s="6" t="s">
        <v>86</v>
      </c>
      <c r="F25" s="6" t="s">
        <v>60</v>
      </c>
      <c r="G25" s="7" t="n">
        <v>1</v>
      </c>
      <c r="H25" s="8" t="n">
        <v>600</v>
      </c>
      <c r="I25" s="9" t="n">
        <f aca="false">G25*H25</f>
        <v>600</v>
      </c>
      <c r="J25" s="8" t="n">
        <v>30</v>
      </c>
      <c r="K25" s="9" t="n">
        <f aca="false">G25*J25</f>
        <v>30</v>
      </c>
      <c r="L25" s="6" t="s">
        <v>64</v>
      </c>
    </row>
    <row r="27" customFormat="false" ht="15" hidden="false" customHeight="false" outlineLevel="0" collapsed="false">
      <c r="H27" s="10" t="s">
        <v>87</v>
      </c>
      <c r="I27" s="11" t="n">
        <f aca="false">SUM(I4:I25)</f>
        <v>14890</v>
      </c>
      <c r="K27" s="11" t="n">
        <f aca="false">SUM(K4:K25)</f>
        <v>2028</v>
      </c>
    </row>
    <row r="28" customFormat="false" ht="15" hidden="false" customHeight="false" outlineLevel="0" collapsed="false">
      <c r="I28" s="12"/>
      <c r="J28" s="13" t="s">
        <v>88</v>
      </c>
      <c r="K28" s="14" t="n">
        <v>300</v>
      </c>
    </row>
    <row r="29" customFormat="false" ht="15" hidden="false" customHeight="false" outlineLevel="0" collapsed="false">
      <c r="I29" s="12"/>
      <c r="J29" s="13" t="s">
        <v>89</v>
      </c>
      <c r="K29" s="15" t="n">
        <v>0.35</v>
      </c>
    </row>
    <row r="30" customFormat="false" ht="15" hidden="false" customHeight="false" outlineLevel="0" collapsed="false">
      <c r="I30" s="12"/>
      <c r="J30" s="10" t="s">
        <v>90</v>
      </c>
      <c r="K30" s="11" t="n">
        <f aca="false">(K27+K28)/K29</f>
        <v>6651.42857142857</v>
      </c>
    </row>
    <row r="31" customFormat="false" ht="15" hidden="false" customHeight="false" outlineLevel="0" collapsed="false">
      <c r="J31" s="13" t="s">
        <v>91</v>
      </c>
      <c r="K31" s="13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2026-10-21T09:13:04Z</dcterms:created>
  <dc:creator>openpyxl</dc:creator>
  <dc:description/>
  <dc:language>en-US</dc:language>
  <cp:lastModifiedBy/>
  <dcterms:modified xsi:type="dcterms:W3CDTF">2026-10-21T09:13:04Z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