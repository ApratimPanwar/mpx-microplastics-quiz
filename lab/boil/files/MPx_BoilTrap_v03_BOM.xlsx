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27" authorId="0">
      <text>
        <r>
          <rPr>
            <sz val="10"/>
            <rFont val="Arial"/>
            <family val="2"/>
          </rPr>
          <t xml:space="preserve">Req 16.4: BOM 30–40% of retail.</t>
        </r>
      </text>
    </comment>
  </commentList>
</comments>
</file>

<file path=xl/sharedStrings.xml><?xml version="1.0" encoding="utf-8"?>
<sst xmlns="http://schemas.openxmlformats.org/spreadsheetml/2006/main" count="125" uniqueCount="89">
  <si>
    <t xml:space="preserve">MPx Boil-Trap v0.3 · parts list (prototype now, product later)</t>
  </si>
  <si>
    <t xml:space="preserve">Blue = inputs you can change; black = formulas. Prices in ₹ incl. GST, Oct 2026 estimates — get quotes. Example row: row 5.</t>
  </si>
  <si>
    <t xml:space="preserve">#</t>
  </si>
  <si>
    <t xml:space="preserve">Group</t>
  </si>
  <si>
    <t xml:space="preserve">Part</t>
  </si>
  <si>
    <t xml:space="preserve">Prototype version (stock part)</t>
  </si>
  <si>
    <t xml:space="preserve">Product version (custom)</t>
  </si>
  <si>
    <t xml:space="preserve">Wetted?</t>
  </si>
  <si>
    <t xml:space="preserve">Qty</t>
  </si>
  <si>
    <t xml:space="preserve">Proto unit ₹</t>
  </si>
  <si>
    <t xml:space="preserve">Proto line ₹</t>
  </si>
  <si>
    <t xml:space="preserve">Product unit ₹ @1k</t>
  </si>
  <si>
    <t xml:space="preserve">Product line ₹</t>
  </si>
  <si>
    <t xml:space="preserve">Where to buy (India)</t>
  </si>
  <si>
    <t xml:space="preserve">Water path</t>
  </si>
  <si>
    <t xml:space="preserve">Boil chamber</t>
  </si>
  <si>
    <t xml:space="preserve">3" SS316 tri-clamp spool, 150 mm</t>
  </si>
  <si>
    <t xml:space="preserve">Deep-drawn SS316 cup, 0.65 L, heater plate bonded under</t>
  </si>
  <si>
    <t xml:space="preserve">Hot</t>
  </si>
  <si>
    <t xml:space="preserve">IndiaMART dairy/pharma fittings</t>
  </si>
  <si>
    <t xml:space="preserve">Cooling chamber</t>
  </si>
  <si>
    <t xml:space="preserve">3" SS316 tri-clamp spool, 100 mm</t>
  </si>
  <si>
    <t xml:space="preserve">Deep-drawn SS316 cup, 0.6 L</t>
  </si>
  <si>
    <t xml:space="preserve">Hot→cool</t>
  </si>
  <si>
    <t xml:space="preserve">As above</t>
  </si>
  <si>
    <t xml:space="preserve">End caps</t>
  </si>
  <si>
    <t xml:space="preserve">3" tri-clamp end caps (one with 1/2" boss welded, one with spout)</t>
  </si>
  <si>
    <t xml:space="preserve">Pressed SS cap + silicone seal</t>
  </si>
  <si>
    <t xml:space="preserve">As above + Peenya welder</t>
  </si>
  <si>
    <t xml:space="preserve">Joint / flip lock</t>
  </si>
  <si>
    <t xml:space="preserve">3" tri-clamp clamps + food-grade silicone gaskets</t>
  </si>
  <si>
    <t xml:space="preserve">Bayonet ring on the catcher module</t>
  </si>
  <si>
    <t xml:space="preserve">Catcher</t>
  </si>
  <si>
    <t xml:space="preserve">Tri-clamp screen gasket, 300–500 mesh SS316</t>
  </si>
  <si>
    <t xml:space="preserve">25 µm SS316 mesh disc in a twist-out ring</t>
  </si>
  <si>
    <t xml:space="preserve">As above / mesh weavers</t>
  </si>
  <si>
    <t xml:space="preserve">Paper insert (optional)</t>
  </si>
  <si>
    <t xml:space="preserve">11 µm cellulose disc</t>
  </si>
  <si>
    <t xml:space="preserve">Same (consumable)</t>
  </si>
  <si>
    <t xml:space="preserve">Lab suppliers</t>
  </si>
  <si>
    <t xml:space="preserve">Rollover vent</t>
  </si>
  <si>
    <t xml:space="preserve">1/4" SS check valve, mounted near the boil-chamber top</t>
  </si>
  <si>
    <t xml:space="preserve">Pressed SS ball vent</t>
  </si>
  <si>
    <t xml:space="preserve">Instrumentation supplier</t>
  </si>
  <si>
    <t xml:space="preserve">Heat and electrics</t>
  </si>
  <si>
    <t xml:space="preserve">Heater</t>
  </si>
  <si>
    <t xml:space="preserve">230 V 500–600 W immersion element, 1/2" BSP</t>
  </si>
  <si>
    <t xml:space="preserve">600 W thick-film plate (kettle part)</t>
  </si>
  <si>
    <t xml:space="preserve">—</t>
  </si>
  <si>
    <t xml:space="preserve">Geyser/heater spares; kettle-element makers</t>
  </si>
  <si>
    <t xml:space="preserve">Timer</t>
  </si>
  <si>
    <t xml:space="preserve">Mechanical 15 min timer switch, 230 V 16 A</t>
  </si>
  <si>
    <t xml:space="preserve">Same</t>
  </si>
  <si>
    <t xml:space="preserve">Robu.in / electrical market</t>
  </si>
  <si>
    <t xml:space="preserve">Thermostats</t>
  </si>
  <si>
    <t xml:space="preserve">KSD301 NC 100 °C + 130 °C</t>
  </si>
  <si>
    <t xml:space="preserve">Robu.in</t>
  </si>
  <si>
    <t xml:space="preserve">Thermal fuse + diode</t>
  </si>
  <si>
    <t xml:space="preserve">172 °C TCO + 1N5408</t>
  </si>
  <si>
    <t xml:space="preserve">Electronics market</t>
  </si>
  <si>
    <t xml:space="preserve">Fuse, rocker with neon, C7 socket, cord</t>
  </si>
  <si>
    <t xml:space="preserve">Panel parts</t>
  </si>
  <si>
    <t xml:space="preserve">Electrical market</t>
  </si>
  <si>
    <t xml:space="preserve">Body and handling</t>
  </si>
  <si>
    <t xml:space="preserve">Base housing</t>
  </si>
  <si>
    <t xml:space="preserve">3D-printed ASA box with mica liner</t>
  </si>
  <si>
    <t xml:space="preserve">PC/ABS V-0 moulding</t>
  </si>
  <si>
    <t xml:space="preserve">Lab printer / moulder</t>
  </si>
  <si>
    <t xml:space="preserve">Fin sleeve</t>
  </si>
  <si>
    <t xml:space="preserve">Cut Al heat-sink or finned pipe sleeve, clamped</t>
  </si>
  <si>
    <t xml:space="preserve">Al 6063 extrusion clip-on</t>
  </si>
  <si>
    <t xml:space="preserve">SP Road / Peenya; extruders</t>
  </si>
  <si>
    <t xml:space="preserve">Grip band</t>
  </si>
  <si>
    <t xml:space="preserve">Silicone sleeve</t>
  </si>
  <si>
    <t xml:space="preserve">Moulded silicone band</t>
  </si>
  <si>
    <t xml:space="preserve">IndiaMART</t>
  </si>
  <si>
    <t xml:space="preserve">Test thermometer</t>
  </si>
  <si>
    <t xml:space="preserve">Bimetal dial thermometer, TC fit</t>
  </si>
  <si>
    <t xml:space="preserve">Not in product</t>
  </si>
  <si>
    <t xml:space="preserve">Fasteners, welding, misc</t>
  </si>
  <si>
    <t xml:space="preserve">Welding the boss, screws, sealant</t>
  </si>
  <si>
    <t xml:space="preserve">Assembly sundries</t>
  </si>
  <si>
    <t xml:space="preserve">Peenya</t>
  </si>
  <si>
    <t xml:space="preserve">Total</t>
  </si>
  <si>
    <t xml:space="preserve">Assembly + test + packing</t>
  </si>
  <si>
    <t xml:space="preserve">BOM-to-retail ratio</t>
  </si>
  <si>
    <t xml:space="preserve">Implied retail ₹</t>
  </si>
  <si>
    <t xml:space="preserve">Quiz WTP band ₹ (req 16.1)</t>
  </si>
  <si>
    <t xml:space="preserve">1,500–5,000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</si>
</sst>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D2433"/>
        <bgColor rgb="FF333300"/>
      </patternFill>
    </fill>
    <fill>
      <patternFill patternType="solid">
        <fgColor rgb="FFE9EDF0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D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9"/>
    <col collapsed="false" customWidth="true" hidden="false" outlineLevel="0" max="7" min="7" style="0" width="5"/>
    <col collapsed="false" customWidth="true" hidden="false" outlineLevel="0" max="9" min="8" style="0" width="11"/>
    <col collapsed="false" customWidth="true" hidden="false" outlineLevel="0" max="11" min="10" style="0" width="12"/>
    <col collapsed="false" customWidth="true" hidden="false" outlineLevel="0" max="12" min="12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6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/>
      <c r="B4" s="5" t="s">
        <v>14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26.85" hidden="false" customHeight="false" outlineLevel="0" collapsed="false">
      <c r="A5" s="6" t="n">
        <v>1</v>
      </c>
      <c r="B5" s="6" t="s">
        <v>14</v>
      </c>
      <c r="C5" s="6" t="s">
        <v>15</v>
      </c>
      <c r="D5" s="6" t="s">
        <v>16</v>
      </c>
      <c r="E5" s="6" t="s">
        <v>17</v>
      </c>
      <c r="F5" s="6" t="s">
        <v>18</v>
      </c>
      <c r="G5" s="7" t="n">
        <v>1</v>
      </c>
      <c r="H5" s="8" t="n">
        <v>1500</v>
      </c>
      <c r="I5" s="9" t="n">
        <f aca="false">G5*H5</f>
        <v>1500</v>
      </c>
      <c r="J5" s="8" t="n">
        <v>220</v>
      </c>
      <c r="K5" s="9" t="n">
        <f aca="false">G5*J5</f>
        <v>220</v>
      </c>
      <c r="L5" s="6" t="s">
        <v>19</v>
      </c>
    </row>
    <row r="6" customFormat="false" ht="26.85" hidden="false" customHeight="false" outlineLevel="0" collapsed="false">
      <c r="A6" s="6" t="n">
        <v>2</v>
      </c>
      <c r="B6" s="6" t="s">
        <v>14</v>
      </c>
      <c r="C6" s="6" t="s">
        <v>20</v>
      </c>
      <c r="D6" s="6" t="s">
        <v>21</v>
      </c>
      <c r="E6" s="6" t="s">
        <v>22</v>
      </c>
      <c r="F6" s="6" t="s">
        <v>23</v>
      </c>
      <c r="G6" s="7" t="n">
        <v>1</v>
      </c>
      <c r="H6" s="8" t="n">
        <v>1200</v>
      </c>
      <c r="I6" s="9" t="n">
        <f aca="false">G6*H6</f>
        <v>1200</v>
      </c>
      <c r="J6" s="8" t="n">
        <v>180</v>
      </c>
      <c r="K6" s="9" t="n">
        <f aca="false">G6*J6</f>
        <v>180</v>
      </c>
      <c r="L6" s="6" t="s">
        <v>24</v>
      </c>
    </row>
    <row r="7" customFormat="false" ht="26.85" hidden="false" customHeight="false" outlineLevel="0" collapsed="false">
      <c r="A7" s="6" t="n">
        <v>3</v>
      </c>
      <c r="B7" s="6" t="s">
        <v>14</v>
      </c>
      <c r="C7" s="6" t="s">
        <v>25</v>
      </c>
      <c r="D7" s="6" t="s">
        <v>26</v>
      </c>
      <c r="E7" s="6" t="s">
        <v>27</v>
      </c>
      <c r="F7" s="6" t="s">
        <v>18</v>
      </c>
      <c r="G7" s="7" t="n">
        <v>2</v>
      </c>
      <c r="H7" s="8" t="n">
        <v>400</v>
      </c>
      <c r="I7" s="9" t="n">
        <f aca="false">G7*H7</f>
        <v>800</v>
      </c>
      <c r="J7" s="8" t="n">
        <v>40</v>
      </c>
      <c r="K7" s="9" t="n">
        <f aca="false">G7*J7</f>
        <v>80</v>
      </c>
      <c r="L7" s="6" t="s">
        <v>28</v>
      </c>
    </row>
    <row r="8" customFormat="false" ht="26.85" hidden="false" customHeight="false" outlineLevel="0" collapsed="false">
      <c r="A8" s="6" t="n">
        <v>4</v>
      </c>
      <c r="B8" s="6" t="s">
        <v>14</v>
      </c>
      <c r="C8" s="6" t="s">
        <v>29</v>
      </c>
      <c r="D8" s="6" t="s">
        <v>30</v>
      </c>
      <c r="E8" s="6" t="s">
        <v>31</v>
      </c>
      <c r="F8" s="6" t="s">
        <v>18</v>
      </c>
      <c r="G8" s="7" t="n">
        <v>3</v>
      </c>
      <c r="H8" s="8" t="n">
        <v>330</v>
      </c>
      <c r="I8" s="9" t="n">
        <f aca="false">G8*H8</f>
        <v>990</v>
      </c>
      <c r="J8" s="8" t="n">
        <v>60</v>
      </c>
      <c r="K8" s="9" t="n">
        <f aca="false">G8*J8</f>
        <v>180</v>
      </c>
      <c r="L8" s="6" t="s">
        <v>24</v>
      </c>
    </row>
    <row r="9" customFormat="false" ht="26.85" hidden="false" customHeight="false" outlineLevel="0" collapsed="false">
      <c r="A9" s="6" t="n">
        <v>5</v>
      </c>
      <c r="B9" s="6" t="s">
        <v>14</v>
      </c>
      <c r="C9" s="6" t="s">
        <v>32</v>
      </c>
      <c r="D9" s="6" t="s">
        <v>33</v>
      </c>
      <c r="E9" s="6" t="s">
        <v>34</v>
      </c>
      <c r="F9" s="6" t="s">
        <v>18</v>
      </c>
      <c r="G9" s="7" t="n">
        <v>1</v>
      </c>
      <c r="H9" s="8" t="n">
        <v>600</v>
      </c>
      <c r="I9" s="9" t="n">
        <f aca="false">G9*H9</f>
        <v>600</v>
      </c>
      <c r="J9" s="8" t="n">
        <v>90</v>
      </c>
      <c r="K9" s="9" t="n">
        <f aca="false">G9*J9</f>
        <v>90</v>
      </c>
      <c r="L9" s="6" t="s">
        <v>35</v>
      </c>
    </row>
    <row r="10" customFormat="false" ht="15" hidden="false" customHeight="false" outlineLevel="0" collapsed="false">
      <c r="A10" s="6" t="n">
        <v>6</v>
      </c>
      <c r="B10" s="6" t="s">
        <v>14</v>
      </c>
      <c r="C10" s="6" t="s">
        <v>36</v>
      </c>
      <c r="D10" s="6" t="s">
        <v>37</v>
      </c>
      <c r="E10" s="6" t="s">
        <v>38</v>
      </c>
      <c r="F10" s="6" t="s">
        <v>18</v>
      </c>
      <c r="G10" s="7" t="n">
        <v>10</v>
      </c>
      <c r="H10" s="8" t="n">
        <v>6</v>
      </c>
      <c r="I10" s="9" t="n">
        <f aca="false">G10*H10</f>
        <v>60</v>
      </c>
      <c r="J10" s="8" t="n">
        <v>3</v>
      </c>
      <c r="K10" s="9" t="n">
        <f aca="false">G10*J10</f>
        <v>30</v>
      </c>
      <c r="L10" s="6" t="s">
        <v>39</v>
      </c>
    </row>
    <row r="11" customFormat="false" ht="26.85" hidden="false" customHeight="false" outlineLevel="0" collapsed="false">
      <c r="A11" s="6" t="n">
        <v>7</v>
      </c>
      <c r="B11" s="6" t="s">
        <v>14</v>
      </c>
      <c r="C11" s="6" t="s">
        <v>40</v>
      </c>
      <c r="D11" s="6" t="s">
        <v>41</v>
      </c>
      <c r="E11" s="6" t="s">
        <v>42</v>
      </c>
      <c r="F11" s="6" t="s">
        <v>18</v>
      </c>
      <c r="G11" s="7" t="n">
        <v>1</v>
      </c>
      <c r="H11" s="8" t="n">
        <v>600</v>
      </c>
      <c r="I11" s="9" t="n">
        <f aca="false">G11*H11</f>
        <v>600</v>
      </c>
      <c r="J11" s="8" t="n">
        <v>35</v>
      </c>
      <c r="K11" s="9" t="n">
        <f aca="false">G11*J11</f>
        <v>35</v>
      </c>
      <c r="L11" s="6" t="s">
        <v>43</v>
      </c>
    </row>
    <row r="12" customFormat="false" ht="15" hidden="false" customHeight="false" outlineLevel="0" collapsed="false">
      <c r="A12" s="4"/>
      <c r="B12" s="5" t="s">
        <v>44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26.85" hidden="false" customHeight="false" outlineLevel="0" collapsed="false">
      <c r="A13" s="6" t="n">
        <v>8</v>
      </c>
      <c r="B13" s="6" t="s">
        <v>44</v>
      </c>
      <c r="C13" s="6" t="s">
        <v>45</v>
      </c>
      <c r="D13" s="6" t="s">
        <v>46</v>
      </c>
      <c r="E13" s="6" t="s">
        <v>47</v>
      </c>
      <c r="F13" s="6" t="s">
        <v>48</v>
      </c>
      <c r="G13" s="7" t="n">
        <v>1</v>
      </c>
      <c r="H13" s="8" t="n">
        <v>500</v>
      </c>
      <c r="I13" s="9" t="n">
        <f aca="false">G13*H13</f>
        <v>500</v>
      </c>
      <c r="J13" s="8" t="n">
        <v>180</v>
      </c>
      <c r="K13" s="9" t="n">
        <f aca="false">G13*J13</f>
        <v>180</v>
      </c>
      <c r="L13" s="6" t="s">
        <v>49</v>
      </c>
    </row>
    <row r="14" customFormat="false" ht="26.85" hidden="false" customHeight="false" outlineLevel="0" collapsed="false">
      <c r="A14" s="6" t="n">
        <v>9</v>
      </c>
      <c r="B14" s="6" t="s">
        <v>44</v>
      </c>
      <c r="C14" s="6" t="s">
        <v>50</v>
      </c>
      <c r="D14" s="6" t="s">
        <v>51</v>
      </c>
      <c r="E14" s="6" t="s">
        <v>52</v>
      </c>
      <c r="F14" s="6" t="s">
        <v>48</v>
      </c>
      <c r="G14" s="7" t="n">
        <v>1</v>
      </c>
      <c r="H14" s="8" t="n">
        <v>250</v>
      </c>
      <c r="I14" s="9" t="n">
        <f aca="false">G14*H14</f>
        <v>250</v>
      </c>
      <c r="J14" s="8" t="n">
        <v>70</v>
      </c>
      <c r="K14" s="9" t="n">
        <f aca="false">G14*J14</f>
        <v>70</v>
      </c>
      <c r="L14" s="6" t="s">
        <v>53</v>
      </c>
    </row>
    <row r="15" customFormat="false" ht="26.85" hidden="false" customHeight="false" outlineLevel="0" collapsed="false">
      <c r="A15" s="6" t="n">
        <v>10</v>
      </c>
      <c r="B15" s="6" t="s">
        <v>44</v>
      </c>
      <c r="C15" s="6" t="s">
        <v>54</v>
      </c>
      <c r="D15" s="6" t="s">
        <v>55</v>
      </c>
      <c r="E15" s="6" t="s">
        <v>52</v>
      </c>
      <c r="F15" s="6" t="s">
        <v>48</v>
      </c>
      <c r="G15" s="7" t="n">
        <v>2</v>
      </c>
      <c r="H15" s="8" t="n">
        <v>60</v>
      </c>
      <c r="I15" s="9" t="n">
        <f aca="false">G15*H15</f>
        <v>120</v>
      </c>
      <c r="J15" s="8" t="n">
        <v>15</v>
      </c>
      <c r="K15" s="9" t="n">
        <f aca="false">G15*J15</f>
        <v>30</v>
      </c>
      <c r="L15" s="6" t="s">
        <v>56</v>
      </c>
    </row>
    <row r="16" customFormat="false" ht="26.85" hidden="false" customHeight="false" outlineLevel="0" collapsed="false">
      <c r="A16" s="6" t="n">
        <v>11</v>
      </c>
      <c r="B16" s="6" t="s">
        <v>44</v>
      </c>
      <c r="C16" s="6" t="s">
        <v>57</v>
      </c>
      <c r="D16" s="6" t="s">
        <v>58</v>
      </c>
      <c r="E16" s="6" t="s">
        <v>52</v>
      </c>
      <c r="F16" s="6" t="s">
        <v>48</v>
      </c>
      <c r="G16" s="7" t="n">
        <v>1</v>
      </c>
      <c r="H16" s="8" t="n">
        <v>60</v>
      </c>
      <c r="I16" s="9" t="n">
        <f aca="false">G16*H16</f>
        <v>60</v>
      </c>
      <c r="J16" s="8" t="n">
        <v>10</v>
      </c>
      <c r="K16" s="9" t="n">
        <f aca="false">G16*J16</f>
        <v>10</v>
      </c>
      <c r="L16" s="6" t="s">
        <v>59</v>
      </c>
    </row>
    <row r="17" customFormat="false" ht="26.85" hidden="false" customHeight="false" outlineLevel="0" collapsed="false">
      <c r="A17" s="6" t="n">
        <v>12</v>
      </c>
      <c r="B17" s="6" t="s">
        <v>44</v>
      </c>
      <c r="C17" s="6" t="s">
        <v>60</v>
      </c>
      <c r="D17" s="6" t="s">
        <v>61</v>
      </c>
      <c r="E17" s="6" t="s">
        <v>52</v>
      </c>
      <c r="F17" s="6" t="s">
        <v>48</v>
      </c>
      <c r="G17" s="7" t="n">
        <v>1</v>
      </c>
      <c r="H17" s="8" t="n">
        <v>350</v>
      </c>
      <c r="I17" s="9" t="n">
        <f aca="false">G17*H17</f>
        <v>350</v>
      </c>
      <c r="J17" s="8" t="n">
        <v>60</v>
      </c>
      <c r="K17" s="9" t="n">
        <f aca="false">G17*J17</f>
        <v>60</v>
      </c>
      <c r="L17" s="6" t="s">
        <v>62</v>
      </c>
    </row>
    <row r="18" customFormat="false" ht="15" hidden="false" customHeight="false" outlineLevel="0" collapsed="false">
      <c r="A18" s="4"/>
      <c r="B18" s="5" t="s">
        <v>63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26.85" hidden="false" customHeight="false" outlineLevel="0" collapsed="false">
      <c r="A19" s="6" t="n">
        <v>13</v>
      </c>
      <c r="B19" s="6" t="s">
        <v>63</v>
      </c>
      <c r="C19" s="6" t="s">
        <v>64</v>
      </c>
      <c r="D19" s="6" t="s">
        <v>65</v>
      </c>
      <c r="E19" s="6" t="s">
        <v>66</v>
      </c>
      <c r="F19" s="6" t="s">
        <v>48</v>
      </c>
      <c r="G19" s="7" t="n">
        <v>1</v>
      </c>
      <c r="H19" s="8" t="n">
        <v>900</v>
      </c>
      <c r="I19" s="9" t="n">
        <f aca="false">G19*H19</f>
        <v>900</v>
      </c>
      <c r="J19" s="8" t="n">
        <v>80</v>
      </c>
      <c r="K19" s="9" t="n">
        <f aca="false">G19*J19</f>
        <v>80</v>
      </c>
      <c r="L19" s="6" t="s">
        <v>67</v>
      </c>
    </row>
    <row r="20" customFormat="false" ht="26.85" hidden="false" customHeight="false" outlineLevel="0" collapsed="false">
      <c r="A20" s="6" t="n">
        <v>14</v>
      </c>
      <c r="B20" s="6" t="s">
        <v>63</v>
      </c>
      <c r="C20" s="6" t="s">
        <v>68</v>
      </c>
      <c r="D20" s="6" t="s">
        <v>69</v>
      </c>
      <c r="E20" s="6" t="s">
        <v>70</v>
      </c>
      <c r="F20" s="6" t="s">
        <v>48</v>
      </c>
      <c r="G20" s="7" t="n">
        <v>1</v>
      </c>
      <c r="H20" s="8" t="n">
        <v>600</v>
      </c>
      <c r="I20" s="9" t="n">
        <f aca="false">G20*H20</f>
        <v>600</v>
      </c>
      <c r="J20" s="8" t="n">
        <v>90</v>
      </c>
      <c r="K20" s="9" t="n">
        <f aca="false">G20*J20</f>
        <v>90</v>
      </c>
      <c r="L20" s="6" t="s">
        <v>71</v>
      </c>
    </row>
    <row r="21" customFormat="false" ht="26.85" hidden="false" customHeight="false" outlineLevel="0" collapsed="false">
      <c r="A21" s="6" t="n">
        <v>15</v>
      </c>
      <c r="B21" s="6" t="s">
        <v>63</v>
      </c>
      <c r="C21" s="6" t="s">
        <v>72</v>
      </c>
      <c r="D21" s="6" t="s">
        <v>73</v>
      </c>
      <c r="E21" s="6" t="s">
        <v>74</v>
      </c>
      <c r="F21" s="6" t="s">
        <v>48</v>
      </c>
      <c r="G21" s="7" t="n">
        <v>1</v>
      </c>
      <c r="H21" s="8" t="n">
        <v>200</v>
      </c>
      <c r="I21" s="9" t="n">
        <f aca="false">G21*H21</f>
        <v>200</v>
      </c>
      <c r="J21" s="8" t="n">
        <v>25</v>
      </c>
      <c r="K21" s="9" t="n">
        <f aca="false">G21*J21</f>
        <v>25</v>
      </c>
      <c r="L21" s="6" t="s">
        <v>75</v>
      </c>
    </row>
    <row r="22" customFormat="false" ht="26.85" hidden="false" customHeight="false" outlineLevel="0" collapsed="false">
      <c r="A22" s="6" t="n">
        <v>16</v>
      </c>
      <c r="B22" s="6" t="s">
        <v>63</v>
      </c>
      <c r="C22" s="6" t="s">
        <v>76</v>
      </c>
      <c r="D22" s="6" t="s">
        <v>77</v>
      </c>
      <c r="E22" s="6" t="s">
        <v>78</v>
      </c>
      <c r="F22" s="6" t="s">
        <v>18</v>
      </c>
      <c r="G22" s="7" t="n">
        <v>1</v>
      </c>
      <c r="H22" s="8" t="n">
        <v>600</v>
      </c>
      <c r="I22" s="9" t="n">
        <f aca="false">G22*H22</f>
        <v>600</v>
      </c>
      <c r="J22" s="8" t="n">
        <v>0</v>
      </c>
      <c r="K22" s="9" t="n">
        <f aca="false">G22*J22</f>
        <v>0</v>
      </c>
      <c r="L22" s="6" t="s">
        <v>75</v>
      </c>
    </row>
    <row r="23" customFormat="false" ht="26.85" hidden="false" customHeight="false" outlineLevel="0" collapsed="false">
      <c r="A23" s="6" t="n">
        <v>17</v>
      </c>
      <c r="B23" s="6" t="s">
        <v>63</v>
      </c>
      <c r="C23" s="6" t="s">
        <v>79</v>
      </c>
      <c r="D23" s="6" t="s">
        <v>80</v>
      </c>
      <c r="E23" s="6" t="s">
        <v>81</v>
      </c>
      <c r="F23" s="6" t="s">
        <v>48</v>
      </c>
      <c r="G23" s="7" t="n">
        <v>1</v>
      </c>
      <c r="H23" s="8" t="n">
        <v>600</v>
      </c>
      <c r="I23" s="9" t="n">
        <f aca="false">G23*H23</f>
        <v>600</v>
      </c>
      <c r="J23" s="8" t="n">
        <v>30</v>
      </c>
      <c r="K23" s="9" t="n">
        <f aca="false">G23*J23</f>
        <v>30</v>
      </c>
      <c r="L23" s="6" t="s">
        <v>82</v>
      </c>
    </row>
    <row r="25" customFormat="false" ht="15" hidden="false" customHeight="false" outlineLevel="0" collapsed="false">
      <c r="H25" s="10" t="s">
        <v>83</v>
      </c>
      <c r="I25" s="11" t="n">
        <f aca="false">SUM(I4:I23)</f>
        <v>9930</v>
      </c>
      <c r="K25" s="11" t="n">
        <f aca="false">SUM(K4:K23)</f>
        <v>1390</v>
      </c>
    </row>
    <row r="26" customFormat="false" ht="15" hidden="false" customHeight="false" outlineLevel="0" collapsed="false">
      <c r="I26" s="12"/>
      <c r="J26" s="13" t="s">
        <v>84</v>
      </c>
      <c r="K26" s="14" t="n">
        <v>250</v>
      </c>
    </row>
    <row r="27" customFormat="false" ht="15" hidden="false" customHeight="false" outlineLevel="0" collapsed="false">
      <c r="I27" s="12"/>
      <c r="J27" s="13" t="s">
        <v>85</v>
      </c>
      <c r="K27" s="15" t="n">
        <v>0.35</v>
      </c>
    </row>
    <row r="28" customFormat="false" ht="15" hidden="false" customHeight="false" outlineLevel="0" collapsed="false">
      <c r="I28" s="12"/>
      <c r="J28" s="10" t="s">
        <v>86</v>
      </c>
      <c r="K28" s="11" t="n">
        <f aca="false">(K25+K26)/K27</f>
        <v>4685.71428571429</v>
      </c>
    </row>
    <row r="29" customFormat="false" ht="15" hidden="false" customHeight="false" outlineLevel="0" collapsed="false">
      <c r="J29" s="13" t="s">
        <v>87</v>
      </c>
      <c r="K29" s="13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2026-10-21T09:04:16Z</dcterms:created>
  <dc:creator>openpyxl</dc:creator>
  <dc:description/>
  <dc:language>en-US</dc:language>
  <cp:lastModifiedBy/>
  <dcterms:modified xsi:type="dcterms:W3CDTF">2026-10-21T09:04:16Z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