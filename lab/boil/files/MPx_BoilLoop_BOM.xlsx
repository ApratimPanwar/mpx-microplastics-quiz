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rototype BOM" sheetId="2" state="visible" r:id="rId4"/>
    <sheet name="Production estimate" sheetId="3" state="visible" r:id="rId5"/>
    <sheet name="Material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56" authorId="0">
      <text>
        <r>
          <rPr>
            <sz val="10"/>
            <rFont val="Arial"/>
            <family val="2"/>
          </rPr>
          <t xml:space="preserve">Assumption: 15% for shipping, rework, wrong parts and tool bits on a first prototype.</t>
        </r>
      </text>
    </comment>
    <comment ref="J58" authorId="0">
      <text>
        <r>
          <rPr>
            <sz val="10"/>
            <rFont val="Arial"/>
            <family val="2"/>
          </rPr>
          <t xml:space="preserve">Source: team proposal.pdf – PD-298 prototyping budget ₹30,000–50,000 (req 16.3).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Links to the production column total on the Prototype BOM sheet.</t>
        </r>
      </text>
    </comment>
    <comment ref="B3" authorId="0">
      <text>
        <r>
          <rPr>
            <sz val="10"/>
            <rFont val="Arial"/>
            <family val="2"/>
          </rPr>
          <t xml:space="preserve">Assumption: ~30 min assembly + leak/thermal test per unit at Bangalore contract-manufacturer rates.</t>
        </r>
      </text>
    </comment>
    <comment ref="B8" authorId="0">
      <text>
        <r>
          <rPr>
            <sz val="10"/>
            <rFont val="Arial"/>
            <family val="2"/>
          </rPr>
          <t xml:space="preserve">Assumption: extrusion die ₹2 lakh, base and cap moulds ₹4 lakh, test fixtures ₹0.5 lakh.</t>
        </r>
      </text>
    </comment>
    <comment ref="B10" authorId="0">
      <text>
        <r>
          <rPr>
            <sz val="10"/>
            <rFont val="Arial"/>
            <family val="2"/>
          </rPr>
          <t xml:space="preserve">Source: team stakeholder quiz, n=45 after outliers (technical requirements list v1.1).</t>
        </r>
      </text>
    </comment>
  </commentList>
</comments>
</file>

<file path=xl/sharedStrings.xml><?xml version="1.0" encoding="utf-8"?>
<sst xmlns="http://schemas.openxmlformats.org/spreadsheetml/2006/main" count="558" uniqueCount="297">
  <si>
    <t xml:space="preserve">MPx Boil-Loop · Bill of materials and sourcing (preliminary v0.2, Oct 2026)</t>
  </si>
  <si>
    <t xml:space="preserve">What this is</t>
  </si>
  <si>
    <t xml:space="preserve">Parts list for one working prototype (Prototype BOM) and a per-unit cost estimate at 1,000 units (Production estimate). Sized from the v0.2 simulations: 3–5 L/h, 100 W USB-C, 99 Wh battery.</t>
  </si>
  <si>
    <t xml:space="preserve">Prices</t>
  </si>
  <si>
    <t xml:space="preserve">Indian rupees including GST. 'Listed' = price seen on the supplier page in Oct 2026. 'Estimate' = typical Indian market range; get quotes before ordering.</t>
  </si>
  <si>
    <t xml:space="preserve">Blue numbers</t>
  </si>
  <si>
    <t xml:space="preserve">Inputs you can change (quantity, unit price, contingency, factors). Black numbers are formulas.</t>
  </si>
  <si>
    <t xml:space="preserve">Yellow cells</t>
  </si>
  <si>
    <t xml:space="preserve">Key assumptions: contingency, budget and retail-ratio inputs.</t>
  </si>
  <si>
    <t xml:space="preserve">Wetted?</t>
  </si>
  <si>
    <t xml:space="preserve">'Hot' = touches water above 60 °C; 'Cold' = touches water below 40 °C; '—' = dry part. Hot wetted parts are all stainless steel 316/316L, glass or cellulose by design.</t>
  </si>
  <si>
    <t xml:space="preserve">Local tip</t>
  </si>
  <si>
    <t xml:space="preserve">Peenya Industrial Area (Bangalore) machine shops can do the heater block, chamber insert, thermowell and shell grooves; SS tube and compression fittings are stocked by Mumbai instrumentation suppliers (IndiaMART / L&amp;T SuFin).</t>
  </si>
  <si>
    <t xml:space="preserve">Example row</t>
  </si>
  <si>
    <t xml:space="preserve">Row 5 of Prototype BOM shows the format: one part per row, spec, material, wetted class, qty, unit price, supplier, price basis, requirement link.</t>
  </si>
  <si>
    <t xml:space="preserve">MPx Boil-Loop · Prototype BOM (one unit)</t>
  </si>
  <si>
    <t xml:space="preserve">#</t>
  </si>
  <si>
    <t xml:space="preserve">Subsystem</t>
  </si>
  <si>
    <t xml:space="preserve">Part</t>
  </si>
  <si>
    <t xml:space="preserve">Specification</t>
  </si>
  <si>
    <t xml:space="preserve">Material</t>
  </si>
  <si>
    <t xml:space="preserve">Qty</t>
  </si>
  <si>
    <t xml:space="preserve">Unit</t>
  </si>
  <si>
    <t xml:space="preserve">Unit price (₹)</t>
  </si>
  <si>
    <t xml:space="preserve">Line total (₹)</t>
  </si>
  <si>
    <t xml:space="preserve">Production unit cost @1k (₹)</t>
  </si>
  <si>
    <t xml:space="preserve">Production line (₹)</t>
  </si>
  <si>
    <t xml:space="preserve">Supplier / where to buy (India)</t>
  </si>
  <si>
    <t xml:space="preserve">Price basis</t>
  </si>
  <si>
    <t xml:space="preserve">Req. link / notes</t>
  </si>
  <si>
    <t xml:space="preserve">Phase</t>
  </si>
  <si>
    <t xml:space="preserve">Water path – hot</t>
  </si>
  <si>
    <t xml:space="preserve">SS tube 1/4" × 0.028" (6.35 × 0.71 mm)</t>
  </si>
  <si>
    <t xml:space="preserve">Seamless, ASTM A269 316L; HX inner 4.1 m + body coil 2.4 m + heater coil 0.7 m + spare</t>
  </si>
  <si>
    <t xml:space="preserve">SS316L</t>
  </si>
  <si>
    <t xml:space="preserve">Hot</t>
  </si>
  <si>
    <t xml:space="preserve">m</t>
  </si>
  <si>
    <t xml:space="preserve">Mumbai instrumentation-tube stockists via IndiaMART; L&amp;T SuFin</t>
  </si>
  <si>
    <t xml:space="preserve">Estimate</t>
  </si>
  <si>
    <t xml:space="preserve">Req 5.1/5.4; NSF/ANSI 61 lists 316L for drinking water</t>
  </si>
  <si>
    <t xml:space="preserve">Bench</t>
  </si>
  <si>
    <t xml:space="preserve">SS tube 3/8" × 0.035" (9.53 × 0.89 mm)</t>
  </si>
  <si>
    <t xml:space="preserve">Seamless 316L, HX outer jacket</t>
  </si>
  <si>
    <t xml:space="preserve">Cold</t>
  </si>
  <si>
    <t xml:space="preserve">As above</t>
  </si>
  <si>
    <t xml:space="preserve">HX annulus carries the cold feed</t>
  </si>
  <si>
    <t xml:space="preserve">Tube-in-tube end tee</t>
  </si>
  <si>
    <t xml:space="preserve">3/8" run × 1/4" through-bore, twin-ferrule compression, SS316</t>
  </si>
  <si>
    <t xml:space="preserve">SS316</t>
  </si>
  <si>
    <t xml:space="preserve">pc</t>
  </si>
  <si>
    <t xml:space="preserve">Indian twin-ferrule makers (e.g. Hylok-type) via IndiaMART</t>
  </si>
  <si>
    <t xml:space="preserve">Bore-through fitting lets the inner tube pass</t>
  </si>
  <si>
    <t xml:space="preserve">Compression unions / elbows 1/4"</t>
  </si>
  <si>
    <t xml:space="preserve">Twin-ferrule, SS316</t>
  </si>
  <si>
    <t xml:space="preserve">Production: brazed/orbital-welded joints instead of fittings</t>
  </si>
  <si>
    <t xml:space="preserve">Boil chamber vessel</t>
  </si>
  <si>
    <t xml:space="preserve">Prototype: SS316 cup Ø85 × 170 + bottom port, wrapped in aerogel; production: double-wall vacuum vessel with welded port</t>
  </si>
  <si>
    <t xml:space="preserve">Peenya fabricator (prototype); vacuum-ware OEM (production)</t>
  </si>
  <si>
    <t xml:space="preserve">Open, vented; ~330 mL working volume</t>
  </si>
  <si>
    <t xml:space="preserve">Chamber insert: baffle, calm-zone weir, sludge cup</t>
  </si>
  <si>
    <t xml:space="preserve">0.8 mm SS316 sheet, TIG/spot welded</t>
  </si>
  <si>
    <t xml:space="preserve">set</t>
  </si>
  <si>
    <t xml:space="preserve">Peenya sheet-metal shop</t>
  </si>
  <si>
    <t xml:space="preserve">3 compartments narrow the residence-time spread (sim S4)</t>
  </si>
  <si>
    <t xml:space="preserve">Thermowell for H2</t>
  </si>
  <si>
    <t xml:space="preserve">Ø8 × 160 mm, closed end, SS316</t>
  </si>
  <si>
    <t xml:space="preserve">Peenya machine shop / instrumentation supplier</t>
  </si>
  <si>
    <t xml:space="preserve">Keeps the heater cartridge out of the water</t>
  </si>
  <si>
    <t xml:space="preserve">Candle filter frame</t>
  </si>
  <si>
    <t xml:space="preserve">SS316 perforated core Ø36 × 100 with lift bail and seal seat</t>
  </si>
  <si>
    <t xml:space="preserve">Peenya sheet-metal / IndiaMART filter makers</t>
  </si>
  <si>
    <t xml:space="preserve">Req 1.2, 11.1 (tool-free swap)</t>
  </si>
  <si>
    <t xml:space="preserve">Filter media (cellulose)</t>
  </si>
  <si>
    <t xml:space="preserve">11 µm cellulose filter paper (Whatman Grade 1 or Indian equivalent), pleated to ~150 cm²</t>
  </si>
  <si>
    <t xml:space="preserve">Cellulose</t>
  </si>
  <si>
    <t xml:space="preserve">pack</t>
  </si>
  <si>
    <t xml:space="preserve">Lab suppliers (Whatman/Cytiva India, Axiva)</t>
  </si>
  <si>
    <t xml:space="preserve">Non-synthetic medium, req 5.2; production unit cost is the consumable</t>
  </si>
  <si>
    <t xml:space="preserve">Alt. filter: sintered SS candle</t>
  </si>
  <si>
    <t xml:space="preserve">10 µm sintered SS316L, Ø36 × 100</t>
  </si>
  <si>
    <t xml:space="preserve">Hindustan Filter (Ahmedabad) and similar</t>
  </si>
  <si>
    <t xml:space="preserve">Optional reusable element; set qty to 1 to include</t>
  </si>
  <si>
    <t xml:space="preserve">Spout nozzle</t>
  </si>
  <si>
    <t xml:space="preserve">Detachable SS316 nozzle with bayonet</t>
  </si>
  <si>
    <t xml:space="preserve">Peenya machine shop</t>
  </si>
  <si>
    <t xml:space="preserve">Req 8.4 detachable/washable</t>
  </si>
  <si>
    <t xml:space="preserve">Food-grade silicone seals</t>
  </si>
  <si>
    <t xml:space="preserve">Hatch seal, tank seat seal; FDA 21 CFR 177.2600</t>
  </si>
  <si>
    <t xml:space="preserve">Silicone</t>
  </si>
  <si>
    <t xml:space="preserve">IndiaMART silicone moulders</t>
  </si>
  <si>
    <t xml:space="preserve">Keep off the hot path where possible</t>
  </si>
  <si>
    <t xml:space="preserve">Water path – cold</t>
  </si>
  <si>
    <t xml:space="preserve">Peristaltic pump</t>
  </si>
  <si>
    <t xml:space="preserve">Kamoer KPP2, 12–155 mL/min, PharMed BPT tube, 12 V/24 V DC</t>
  </si>
  <si>
    <t xml:space="preserve">PharMed BPT tube</t>
  </si>
  <si>
    <t xml:space="preserve">Robu.in (Kamoer)</t>
  </si>
  <si>
    <t xml:space="preserve">Listed (24 V version)</t>
  </si>
  <si>
    <t xml:space="preserve">Cold side only; run a blank shedding test (tube spallation)</t>
  </si>
  <si>
    <t xml:space="preserve">Side tank</t>
  </si>
  <si>
    <t xml:space="preserve">1.5 L borosilicate 3.3 glass with SS lid and handle</t>
  </si>
  <si>
    <t xml:space="preserve">Borosilicate glass</t>
  </si>
  <si>
    <t xml:space="preserve">Borosil retail (prototype); glass OEM (production)</t>
  </si>
  <si>
    <t xml:space="preserve">Req 5.1 – glass is inert</t>
  </si>
  <si>
    <t xml:space="preserve">Integrated</t>
  </si>
  <si>
    <t xml:space="preserve">Tank outlet check valve</t>
  </si>
  <si>
    <t xml:space="preserve">Spring-loaded seat valve, SS316 body, opens when the tank sits down</t>
  </si>
  <si>
    <t xml:space="preserve">Peenya machine shop / IndiaMART</t>
  </si>
  <si>
    <t xml:space="preserve">Coffee-machine-style tank valve in steel</t>
  </si>
  <si>
    <t xml:space="preserve">3-way motorised ball valve</t>
  </si>
  <si>
    <t xml:space="preserve">1/4", SS304/316 body, 12 V, CR02 wiring</t>
  </si>
  <si>
    <t xml:space="preserve">SS304/316 + PTFE seats</t>
  </si>
  <si>
    <t xml:space="preserve">IndiaMART / L&amp;T SuFin (motorised valves)</t>
  </si>
  <si>
    <t xml:space="preserve">Dispense vs return-to-tank during warm-up; check seat material</t>
  </si>
  <si>
    <t xml:space="preserve">Vent condenser coil</t>
  </si>
  <si>
    <t xml:space="preserve">1/4" SS316 tube (from line 1) wrapped round vent riser</t>
  </si>
  <si>
    <t xml:space="preserve">—</t>
  </si>
  <si>
    <t xml:space="preserve">Uses tube from row 1</t>
  </si>
  <si>
    <t xml:space="preserve">Recovers ~70% of steam heat (sim S2 assumption)</t>
  </si>
  <si>
    <t xml:space="preserve">Heating</t>
  </si>
  <si>
    <t xml:space="preserve">Heater block H1</t>
  </si>
  <si>
    <t xml:space="preserve">Al 6061 block 50 × 30 × 80 mm, two halves, milled serpentine groove for the SS tube, 2 cartridge bores</t>
  </si>
  <si>
    <t xml:space="preserve">Al 6061</t>
  </si>
  <si>
    <t xml:space="preserve">Water never touches the aluminium</t>
  </si>
  <si>
    <t xml:space="preserve">Cartridge heater 12 V 40 W</t>
  </si>
  <si>
    <t xml:space="preserve">Ø6 × 20 mm ceramic cartridge (3D-printer type); 2 in H1, 1 in H2</t>
  </si>
  <si>
    <t xml:space="preserve">Ceramic/SS sheath</t>
  </si>
  <si>
    <t xml:space="preserve">Robu.in</t>
  </si>
  <si>
    <t xml:space="preserve">~78 W each at 16.8 V; firmware limits duty</t>
  </si>
  <si>
    <t xml:space="preserve">Thermostat KSD301 NC</t>
  </si>
  <si>
    <t xml:space="preserve">125 °C (H1) and 120 °C (H2), 10 A</t>
  </si>
  <si>
    <t xml:space="preserve">Bakelite/ceramic</t>
  </si>
  <si>
    <t xml:space="preserve">Hardware cut-off, req 7.6</t>
  </si>
  <si>
    <t xml:space="preserve">Thermal fuse 142 °C</t>
  </si>
  <si>
    <t xml:space="preserve">One-shot, 10 A</t>
  </si>
  <si>
    <t xml:space="preserve">Robu.in / electronics markets</t>
  </si>
  <si>
    <t xml:space="preserve">Second independent cut-off</t>
  </si>
  <si>
    <t xml:space="preserve">Aerogel blanket</t>
  </si>
  <si>
    <t xml:space="preserve">5–10 mm, ~0.3 m²</t>
  </si>
  <si>
    <t xml:space="preserve">Silica aerogel</t>
  </si>
  <si>
    <t xml:space="preserve">IndiaMART insulation suppliers</t>
  </si>
  <si>
    <t xml:space="preserve">Core + HX insulation; UA_core 0.15 W/K assumed in sims</t>
  </si>
  <si>
    <t xml:space="preserve">Mica sheet + thermal paste</t>
  </si>
  <si>
    <t xml:space="preserve">Heater block wrap; silicone paste for tube-in-groove contact</t>
  </si>
  <si>
    <t xml:space="preserve">Mica, silicone</t>
  </si>
  <si>
    <t xml:space="preserve">Robu.in / local</t>
  </si>
  <si>
    <t xml:space="preserve">Body and housing</t>
  </si>
  <si>
    <t xml:space="preserve">Shell</t>
  </si>
  <si>
    <t xml:space="preserve">Prototype: 6063 Al tube Ø160 × 2.5 × 300 mm, CNC axial grooves; production: finned extrusion (24 × 8 mm fins), black anodised</t>
  </si>
  <si>
    <t xml:space="preserve">Al 6063-T5</t>
  </si>
  <si>
    <t xml:space="preserve">Bhoruka / Ralco / S.V. Products (extruders); Peenya for prototype</t>
  </si>
  <si>
    <t xml:space="preserve">Fins add only ~0.2 °C of cooling (sim S6); production die ₹1.5–3 lakh one-off</t>
  </si>
  <si>
    <t xml:space="preserve">Base housing</t>
  </si>
  <si>
    <t xml:space="preserve">Prototype: FDM ASA/PETG; production: PC/ABS UL94 V-0 moulding</t>
  </si>
  <si>
    <t xml:space="preserve">ASA → PC/ABS</t>
  </si>
  <si>
    <t xml:space="preserve">IISc/maker 3D printing; injection moulder</t>
  </si>
  <si>
    <t xml:space="preserve">Req 9.1 dual path</t>
  </si>
  <si>
    <t xml:space="preserve">Cap with display window + top hatch</t>
  </si>
  <si>
    <t xml:space="preserve">Prototype: FDM ASA; production: PC/ABS + SS hatch ring</t>
  </si>
  <si>
    <t xml:space="preserve">Hatch interlock solenoid in electronics</t>
  </si>
  <si>
    <t xml:space="preserve">Drip tray + grate</t>
  </si>
  <si>
    <t xml:space="preserve">SS304 tray, perforated SS grate</t>
  </si>
  <si>
    <t xml:space="preserve">SS304</t>
  </si>
  <si>
    <t xml:space="preserve">Removable</t>
  </si>
  <si>
    <t xml:space="preserve">Fasteners, feet, standoffs</t>
  </si>
  <si>
    <t xml:space="preserve">M3/M4 SS, silicone feet</t>
  </si>
  <si>
    <t xml:space="preserve">SS/silicone</t>
  </si>
  <si>
    <t xml:space="preserve">Local hardware</t>
  </si>
  <si>
    <t xml:space="preserve">Electronics</t>
  </si>
  <si>
    <t xml:space="preserve">MCU</t>
  </si>
  <si>
    <t xml:space="preserve">ESP32-S3-WROOM-1 dev board (prototype) / module (production)</t>
  </si>
  <si>
    <t xml:space="preserve">Robu.in / Zbotic</t>
  </si>
  <si>
    <t xml:space="preserve">BLE link to the detection app (Concept 05)</t>
  </si>
  <si>
    <t xml:space="preserve">USB-C PD charger / power path</t>
  </si>
  <si>
    <t xml:space="preserve">IP2368 100 W bidirectional 4S module (prototype); TI BQ25756 + TPS25750 (production option)</t>
  </si>
  <si>
    <t xml:space="preserve">Robu.in / AliExpress-type modules; TI via Mouser India</t>
  </si>
  <si>
    <t xml:space="preserve">Datasheet not public for IP2368 – verify limits on bench</t>
  </si>
  <si>
    <t xml:space="preserve">Li-ion cells</t>
  </si>
  <si>
    <t xml:space="preserve">18650, 3.45 Ah, 10 A (e.g. Panasonic NCR18650GA); 4S2P = 99 Wh</t>
  </si>
  <si>
    <t xml:space="preserve">Hubtronics / Zbotic (BIS-registered stock)</t>
  </si>
  <si>
    <t xml:space="preserve">Req 4.2: IS 16046 registered cells</t>
  </si>
  <si>
    <t xml:space="preserve">4S BMS</t>
  </si>
  <si>
    <t xml:space="preserve">20 A, balance, NTC input</t>
  </si>
  <si>
    <t xml:space="preserve">Pack build</t>
  </si>
  <si>
    <t xml:space="preserve">Nickel strip, holders, spot welding, insulation</t>
  </si>
  <si>
    <t xml:space="preserve">Local battery shop</t>
  </si>
  <si>
    <t xml:space="preserve">Heater MOSFET drivers</t>
  </si>
  <si>
    <t xml:space="preserve">Logic-level N-MOSFET boards, 2 channels</t>
  </si>
  <si>
    <t xml:space="preserve">Valve / solenoid driver</t>
  </si>
  <si>
    <t xml:space="preserve">DRV8833 H-bridge module</t>
  </si>
  <si>
    <t xml:space="preserve">ADC</t>
  </si>
  <si>
    <t xml:space="preserve">ADS1115 16-bit, 4 ch (×2 for 6 NTCs + spare)</t>
  </si>
  <si>
    <t xml:space="preserve">Temperature probes</t>
  </si>
  <si>
    <t xml:space="preserve">NTC 10 k B3950 in SS316 probe, 1/4" compatible</t>
  </si>
  <si>
    <t xml:space="preserve">Robu.in / IndiaMART</t>
  </si>
  <si>
    <t xml:space="preserve">Tank, H1 out, boil zone, calm zone, HX hot out, spout</t>
  </si>
  <si>
    <t xml:space="preserve">Level pins</t>
  </si>
  <si>
    <t xml:space="preserve">SS316 pins with PTFE-free ceramic/PEEK feed-through (boil zone + calm zone)</t>
  </si>
  <si>
    <t xml:space="preserve">Filter-clog alert (req 6.4) and dry-boil interlock</t>
  </si>
  <si>
    <t xml:space="preserve">Display</t>
  </si>
  <si>
    <t xml:space="preserve">1.28" GC9A01 round IPS, SPI</t>
  </si>
  <si>
    <t xml:space="preserve">Req 6.5 visible reading</t>
  </si>
  <si>
    <t xml:space="preserve">Touch keys + buzzer</t>
  </si>
  <si>
    <t xml:space="preserve">2 × TTP223 capacitive pads, piezo buzzer</t>
  </si>
  <si>
    <t xml:space="preserve">Tilt + hatch sensing</t>
  </si>
  <si>
    <t xml:space="preserve">Ball tilt switch, reed switch + magnet, 12 V mini lock solenoid</t>
  </si>
  <si>
    <t xml:space="preserve">Hardware AND gate on heater enable</t>
  </si>
  <si>
    <t xml:space="preserve">3.3 V buck + load switch + logic</t>
  </si>
  <si>
    <t xml:space="preserve">TPS62133-class buck module, high-side load switch, 74LVC gates, watchdog</t>
  </si>
  <si>
    <t xml:space="preserve">Robu.in / Mouser India</t>
  </si>
  <si>
    <t xml:space="preserve">Custom PCB</t>
  </si>
  <si>
    <t xml:space="preserve">2-layer, 100 × 80, 5 pcs (prototype); assembled in production</t>
  </si>
  <si>
    <t xml:space="preserve">FR-4</t>
  </si>
  <si>
    <t xml:space="preserve">lot</t>
  </si>
  <si>
    <t xml:space="preserve">PCB Power (Gujarat) / JLCPCB</t>
  </si>
  <si>
    <t xml:space="preserve">Req 9.3 single PCB</t>
  </si>
  <si>
    <t xml:space="preserve">Wiring and connectors</t>
  </si>
  <si>
    <t xml:space="preserve">Silicone wire, JST/XT30, fuse holder + 15 A blade fuse</t>
  </si>
  <si>
    <t xml:space="preserve">USB-C charger + e-marked cable</t>
  </si>
  <si>
    <t xml:space="preserve">100 W GaN PD charger, 5 A cable (only if the team doesn't own one)</t>
  </si>
  <si>
    <t xml:space="preserve">Retail</t>
  </si>
  <si>
    <t xml:space="preserve">Not in the production BOM (user's own charger)</t>
  </si>
  <si>
    <t xml:space="preserve">Subtotal</t>
  </si>
  <si>
    <t xml:space="preserve">Contingency</t>
  </si>
  <si>
    <t xml:space="preserve">Prototype total</t>
  </si>
  <si>
    <t xml:space="preserve">PD-298 budget cap</t>
  </si>
  <si>
    <t xml:space="preserve">Headroom vs cap</t>
  </si>
  <si>
    <t xml:space="preserve">Stage 1 bench rig (incl. contingency)</t>
  </si>
  <si>
    <t xml:space="preserve">Stage 2 integration add-on (incl. contingency)</t>
  </si>
  <si>
    <t xml:space="preserve">MPx Boil-Loop · cost at 1,000 units (indicative)</t>
  </si>
  <si>
    <t xml:space="preserve">Material BOM per unit (₹)</t>
  </si>
  <si>
    <t xml:space="preserve">Assembly, test and packaging per unit (₹)</t>
  </si>
  <si>
    <t xml:space="preserve">Tooling amortised per unit (₹)</t>
  </si>
  <si>
    <t xml:space="preserve">Landed unit cost (₹)</t>
  </si>
  <si>
    <t xml:space="preserve">BOM-to-retail ratio (req 16.4: 30–40%)</t>
  </si>
  <si>
    <t xml:space="preserve">Implied retail price (₹)</t>
  </si>
  <si>
    <t xml:space="preserve">One-off tooling: extrusion die, 2 moulds, fixtures (₹)</t>
  </si>
  <si>
    <t xml:space="preserve">Units to amortise tooling over</t>
  </si>
  <si>
    <t xml:space="preserve">Quiz willingness to pay – median (₹)</t>
  </si>
  <si>
    <t xml:space="preserve">Quiz willingness to pay – 90th percentile (₹)</t>
  </si>
  <si>
    <t xml:space="preserve">Implied retail ÷ 90th-percentile WTP</t>
  </si>
  <si>
    <t xml:space="preserve">Replacement filter element price at 15–20% of retail (₹)</t>
  </si>
  <si>
    <t xml:space="preserve">Reading: even at volume this lands well above the quiz's ₹1,500–5,000 band. It prices like an RO purifier, so it needs a premium/household positioning or a much cheaper heat path.</t>
  </si>
  <si>
    <t xml:space="preserve">Why</t>
  </si>
  <si>
    <t xml:space="preserve">Food-contact / standard</t>
  </si>
  <si>
    <t xml:space="preserve">Temperature</t>
  </si>
  <si>
    <t xml:space="preserve">Risk to check</t>
  </si>
  <si>
    <t xml:space="preserve">All hot water tubes, chamber, thermowell, filter core, spout</t>
  </si>
  <si>
    <t xml:space="preserve">Stainless steel 316/316L</t>
  </si>
  <si>
    <t xml:space="preserve">Inert, no plastic in the hot path, scale can be removed with citric acid</t>
  </si>
  <si>
    <t xml:space="preserve">NSF/ANSI 61 accepts 316/316L; IS 10500 metal limits (req 5.4)</t>
  </si>
  <si>
    <t xml:space="preserve">to 105 °C</t>
  </si>
  <si>
    <t xml:space="preserve">Chloride pitting if descaled with HCl – use citric acid only</t>
  </si>
  <si>
    <t xml:space="preserve">Tank</t>
  </si>
  <si>
    <t xml:space="preserve">Borosilicate 3.3 glass</t>
  </si>
  <si>
    <t xml:space="preserve">Inert, visible water level</t>
  </si>
  <si>
    <t xml:space="preserve">Food-grade glass</t>
  </si>
  <si>
    <t xml:space="preserve">to 40 °C</t>
  </si>
  <si>
    <t xml:space="preserve">Breakage – thick wall, silicone foot</t>
  </si>
  <si>
    <t xml:space="preserve">Filter medium</t>
  </si>
  <si>
    <t xml:space="preserve">Cellulose filter paper (11 µm) or sintered 316L</t>
  </si>
  <si>
    <t xml:space="preserve">Non-synthetic (req 5.2); cellulose can be stained for detection</t>
  </si>
  <si>
    <t xml:space="preserve">Lab-grade cellulose</t>
  </si>
  <si>
    <t xml:space="preserve">to 100 °C wet</t>
  </si>
  <si>
    <t xml:space="preserve">Wet strength at 100 °C; fines passing → turbidity (req 10.4)</t>
  </si>
  <si>
    <t xml:space="preserve">Pump tube</t>
  </si>
  <si>
    <t xml:space="preserve">PharMed BPT (TPE)</t>
  </si>
  <si>
    <t xml:space="preserve">Long life peristaltic tube</t>
  </si>
  <si>
    <t xml:space="preserve">Maker states food-grade options</t>
  </si>
  <si>
    <t xml:space="preserve">cold side only</t>
  </si>
  <si>
    <t xml:space="preserve">Tube spallation sheds particles – blank test</t>
  </si>
  <si>
    <t xml:space="preserve">Seals</t>
  </si>
  <si>
    <t xml:space="preserve">Food-grade silicone / EPDM</t>
  </si>
  <si>
    <t xml:space="preserve">Only where metal-to-metal isn't possible</t>
  </si>
  <si>
    <t xml:space="preserve">FDA 21 CFR 177.2600 (silicone)</t>
  </si>
  <si>
    <t xml:space="preserve">cold side / hatch</t>
  </si>
  <si>
    <t xml:space="preserve">Keep off the hot water path</t>
  </si>
  <si>
    <t xml:space="preserve">Heater block</t>
  </si>
  <si>
    <t xml:space="preserve">Aluminium 6061</t>
  </si>
  <si>
    <t xml:space="preserve">High conductivity, machinable</t>
  </si>
  <si>
    <t xml:space="preserve">Dry part – water stays in SS tube</t>
  </si>
  <si>
    <t xml:space="preserve">to 125 °C</t>
  </si>
  <si>
    <t xml:space="preserve">Galvanic contact with SS – thin mica/paste layer</t>
  </si>
  <si>
    <t xml:space="preserve">Aluminium 6063-T5, anodised</t>
  </si>
  <si>
    <t xml:space="preserve">Extrudable fins and grooves; light</t>
  </si>
  <si>
    <t xml:space="preserve">Dry part</t>
  </si>
  <si>
    <t xml:space="preserve">~30 °C</t>
  </si>
  <si>
    <t xml:space="preserve">Anodise colour fade; scratches</t>
  </si>
  <si>
    <t xml:space="preserve">Base, cap</t>
  </si>
  <si>
    <t xml:space="preserve">ASA (proto) → PC/ABS UL94 V-0</t>
  </si>
  <si>
    <t xml:space="preserve">Printable now, mouldable later (req 9.1)</t>
  </si>
  <si>
    <t xml:space="preserve">&lt; 60 °C</t>
  </si>
  <si>
    <t xml:space="preserve">Heat from core – insulation plate under core</t>
  </si>
  <si>
    <t xml:space="preserve">Insulation</t>
  </si>
  <si>
    <t xml:space="preserve">Silica aerogel blanket + mica</t>
  </si>
  <si>
    <t xml:space="preserve">Thin and good to 650 °C</t>
  </si>
  <si>
    <t xml:space="preserve">Dry part, sealed from water</t>
  </si>
  <si>
    <t xml:space="preserve">Dust when cut – enclose in foil/sleeve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</si>
</sst>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(#,##0\);\-"/>
    <numFmt numFmtId="166" formatCode="0%"/>
    <numFmt numFmtId="167" formatCode="#,##0"/>
    <numFmt numFmtId="168" formatCode="0.0\×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D2433"/>
        <bgColor rgb="FF333300"/>
      </patternFill>
    </fill>
    <fill>
      <patternFill patternType="solid">
        <fgColor rgb="FFE9EDF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9EDF0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D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11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6.85" hidden="false" customHeight="false" outlineLevel="0" collapsed="false">
      <c r="A3" s="2" t="s">
        <v>1</v>
      </c>
      <c r="B3" s="3" t="s">
        <v>2</v>
      </c>
    </row>
    <row r="4" customFormat="false" ht="26.8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26.85" hidden="false" customHeight="false" outlineLevel="0" collapsed="false">
      <c r="A7" s="2" t="s">
        <v>9</v>
      </c>
      <c r="B7" s="3" t="s">
        <v>10</v>
      </c>
    </row>
    <row r="8" customFormat="false" ht="39.55" hidden="false" customHeight="false" outlineLevel="0" collapsed="false">
      <c r="A8" s="2" t="s">
        <v>11</v>
      </c>
      <c r="B8" s="3" t="s">
        <v>12</v>
      </c>
    </row>
    <row r="9" customFormat="false" ht="26.85" hidden="false" customHeight="false" outlineLevel="0" collapsed="false">
      <c r="A9" s="2" t="s">
        <v>13</v>
      </c>
      <c r="B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8" min="7" style="0" width="6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16"/>
    <col collapsed="false" customWidth="true" hidden="false" outlineLevel="0" max="15" min="15" style="0" width="40"/>
    <col collapsed="false" customWidth="true" hidden="false" outlineLevel="0" max="16" min="16" style="0" width="11"/>
  </cols>
  <sheetData>
    <row r="1" customFormat="false" ht="16.15" hidden="false" customHeight="false" outlineLevel="0" collapsed="false">
      <c r="A1" s="4" t="s">
        <v>15</v>
      </c>
    </row>
    <row r="3" customFormat="false" ht="39.55" hidden="false" customHeight="false" outlineLevel="0" collapsed="false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  <c r="F3" s="5" t="s">
        <v>9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30</v>
      </c>
    </row>
    <row r="4" customFormat="false" ht="15" hidden="false" customHeight="false" outlineLevel="0" collapsed="false">
      <c r="A4" s="6"/>
      <c r="B4" s="7" t="s">
        <v>31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26.85" hidden="false" customHeight="false" outlineLevel="0" collapsed="false">
      <c r="A5" s="8" t="n">
        <v>1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9" t="n">
        <v>8</v>
      </c>
      <c r="H5" s="8" t="s">
        <v>36</v>
      </c>
      <c r="I5" s="10" t="n">
        <v>350</v>
      </c>
      <c r="J5" s="11" t="n">
        <f aca="false">G5*I5</f>
        <v>2800</v>
      </c>
      <c r="K5" s="10" t="n">
        <v>140</v>
      </c>
      <c r="L5" s="11" t="n">
        <f aca="false">G5*K5</f>
        <v>1120</v>
      </c>
      <c r="M5" s="8" t="s">
        <v>37</v>
      </c>
      <c r="N5" s="8" t="s">
        <v>38</v>
      </c>
      <c r="O5" s="8" t="s">
        <v>39</v>
      </c>
      <c r="P5" s="8" t="s">
        <v>40</v>
      </c>
    </row>
    <row r="6" customFormat="false" ht="26.85" hidden="false" customHeight="false" outlineLevel="0" collapsed="false">
      <c r="A6" s="8" t="n">
        <v>2</v>
      </c>
      <c r="B6" s="8" t="s">
        <v>31</v>
      </c>
      <c r="C6" s="8" t="s">
        <v>41</v>
      </c>
      <c r="D6" s="8" t="s">
        <v>42</v>
      </c>
      <c r="E6" s="8" t="s">
        <v>34</v>
      </c>
      <c r="F6" s="8" t="s">
        <v>43</v>
      </c>
      <c r="G6" s="9" t="n">
        <v>4.5</v>
      </c>
      <c r="H6" s="8" t="s">
        <v>36</v>
      </c>
      <c r="I6" s="10" t="n">
        <v>550</v>
      </c>
      <c r="J6" s="11" t="n">
        <f aca="false">G6*I6</f>
        <v>2475</v>
      </c>
      <c r="K6" s="10" t="n">
        <v>220</v>
      </c>
      <c r="L6" s="11" t="n">
        <f aca="false">G6*K6</f>
        <v>990</v>
      </c>
      <c r="M6" s="8" t="s">
        <v>44</v>
      </c>
      <c r="N6" s="8" t="s">
        <v>38</v>
      </c>
      <c r="O6" s="8" t="s">
        <v>45</v>
      </c>
      <c r="P6" s="8" t="s">
        <v>40</v>
      </c>
    </row>
    <row r="7" customFormat="false" ht="26.85" hidden="false" customHeight="false" outlineLevel="0" collapsed="false">
      <c r="A7" s="8" t="n">
        <v>3</v>
      </c>
      <c r="B7" s="8" t="s">
        <v>31</v>
      </c>
      <c r="C7" s="8" t="s">
        <v>46</v>
      </c>
      <c r="D7" s="8" t="s">
        <v>47</v>
      </c>
      <c r="E7" s="8" t="s">
        <v>48</v>
      </c>
      <c r="F7" s="8" t="s">
        <v>35</v>
      </c>
      <c r="G7" s="9" t="n">
        <v>2</v>
      </c>
      <c r="H7" s="8" t="s">
        <v>49</v>
      </c>
      <c r="I7" s="10" t="n">
        <v>2200</v>
      </c>
      <c r="J7" s="11" t="n">
        <f aca="false">G7*I7</f>
        <v>4400</v>
      </c>
      <c r="K7" s="10" t="n">
        <v>150</v>
      </c>
      <c r="L7" s="11" t="n">
        <f aca="false">G7*K7</f>
        <v>300</v>
      </c>
      <c r="M7" s="8" t="s">
        <v>50</v>
      </c>
      <c r="N7" s="8" t="s">
        <v>38</v>
      </c>
      <c r="O7" s="8" t="s">
        <v>51</v>
      </c>
      <c r="P7" s="8" t="s">
        <v>40</v>
      </c>
    </row>
    <row r="8" customFormat="false" ht="26.85" hidden="false" customHeight="false" outlineLevel="0" collapsed="false">
      <c r="A8" s="8" t="n">
        <v>4</v>
      </c>
      <c r="B8" s="8" t="s">
        <v>31</v>
      </c>
      <c r="C8" s="8" t="s">
        <v>52</v>
      </c>
      <c r="D8" s="8" t="s">
        <v>53</v>
      </c>
      <c r="E8" s="8" t="s">
        <v>48</v>
      </c>
      <c r="F8" s="8" t="s">
        <v>35</v>
      </c>
      <c r="G8" s="9" t="n">
        <v>10</v>
      </c>
      <c r="H8" s="8" t="s">
        <v>49</v>
      </c>
      <c r="I8" s="10" t="n">
        <v>450</v>
      </c>
      <c r="J8" s="11" t="n">
        <f aca="false">G8*I8</f>
        <v>4500</v>
      </c>
      <c r="K8" s="10" t="n">
        <v>25</v>
      </c>
      <c r="L8" s="11" t="n">
        <f aca="false">G8*K8</f>
        <v>250</v>
      </c>
      <c r="M8" s="8" t="s">
        <v>44</v>
      </c>
      <c r="N8" s="8" t="s">
        <v>38</v>
      </c>
      <c r="O8" s="8" t="s">
        <v>54</v>
      </c>
      <c r="P8" s="8" t="s">
        <v>40</v>
      </c>
    </row>
    <row r="9" customFormat="false" ht="39.55" hidden="false" customHeight="false" outlineLevel="0" collapsed="false">
      <c r="A9" s="8" t="n">
        <v>5</v>
      </c>
      <c r="B9" s="8" t="s">
        <v>31</v>
      </c>
      <c r="C9" s="8" t="s">
        <v>55</v>
      </c>
      <c r="D9" s="8" t="s">
        <v>56</v>
      </c>
      <c r="E9" s="8" t="s">
        <v>48</v>
      </c>
      <c r="F9" s="8" t="s">
        <v>35</v>
      </c>
      <c r="G9" s="9" t="n">
        <v>1</v>
      </c>
      <c r="H9" s="8" t="s">
        <v>49</v>
      </c>
      <c r="I9" s="10" t="n">
        <v>1800</v>
      </c>
      <c r="J9" s="11" t="n">
        <f aca="false">G9*I9</f>
        <v>1800</v>
      </c>
      <c r="K9" s="10" t="n">
        <v>650</v>
      </c>
      <c r="L9" s="11" t="n">
        <f aca="false">G9*K9</f>
        <v>650</v>
      </c>
      <c r="M9" s="8" t="s">
        <v>57</v>
      </c>
      <c r="N9" s="8" t="s">
        <v>38</v>
      </c>
      <c r="O9" s="8" t="s">
        <v>58</v>
      </c>
      <c r="P9" s="8" t="s">
        <v>40</v>
      </c>
    </row>
    <row r="10" customFormat="false" ht="26.85" hidden="false" customHeight="false" outlineLevel="0" collapsed="false">
      <c r="A10" s="8" t="n">
        <v>6</v>
      </c>
      <c r="B10" s="8" t="s">
        <v>31</v>
      </c>
      <c r="C10" s="8" t="s">
        <v>59</v>
      </c>
      <c r="D10" s="8" t="s">
        <v>60</v>
      </c>
      <c r="E10" s="8" t="s">
        <v>48</v>
      </c>
      <c r="F10" s="8" t="s">
        <v>35</v>
      </c>
      <c r="G10" s="9" t="n">
        <v>1</v>
      </c>
      <c r="H10" s="8" t="s">
        <v>61</v>
      </c>
      <c r="I10" s="10" t="n">
        <v>900</v>
      </c>
      <c r="J10" s="11" t="n">
        <f aca="false">G10*I10</f>
        <v>900</v>
      </c>
      <c r="K10" s="10" t="n">
        <v>250</v>
      </c>
      <c r="L10" s="11" t="n">
        <f aca="false">G10*K10</f>
        <v>250</v>
      </c>
      <c r="M10" s="8" t="s">
        <v>62</v>
      </c>
      <c r="N10" s="8" t="s">
        <v>38</v>
      </c>
      <c r="O10" s="8" t="s">
        <v>63</v>
      </c>
      <c r="P10" s="8" t="s">
        <v>40</v>
      </c>
    </row>
    <row r="11" customFormat="false" ht="26.85" hidden="false" customHeight="false" outlineLevel="0" collapsed="false">
      <c r="A11" s="8" t="n">
        <v>7</v>
      </c>
      <c r="B11" s="8" t="s">
        <v>31</v>
      </c>
      <c r="C11" s="8" t="s">
        <v>64</v>
      </c>
      <c r="D11" s="8" t="s">
        <v>65</v>
      </c>
      <c r="E11" s="8" t="s">
        <v>48</v>
      </c>
      <c r="F11" s="8" t="s">
        <v>35</v>
      </c>
      <c r="G11" s="9" t="n">
        <v>1</v>
      </c>
      <c r="H11" s="8" t="s">
        <v>49</v>
      </c>
      <c r="I11" s="10" t="n">
        <v>600</v>
      </c>
      <c r="J11" s="11" t="n">
        <f aca="false">G11*I11</f>
        <v>600</v>
      </c>
      <c r="K11" s="10" t="n">
        <v>150</v>
      </c>
      <c r="L11" s="11" t="n">
        <f aca="false">G11*K11</f>
        <v>150</v>
      </c>
      <c r="M11" s="8" t="s">
        <v>66</v>
      </c>
      <c r="N11" s="8" t="s">
        <v>38</v>
      </c>
      <c r="O11" s="8" t="s">
        <v>67</v>
      </c>
      <c r="P11" s="8" t="s">
        <v>40</v>
      </c>
    </row>
    <row r="12" customFormat="false" ht="26.85" hidden="false" customHeight="false" outlineLevel="0" collapsed="false">
      <c r="A12" s="8" t="n">
        <v>8</v>
      </c>
      <c r="B12" s="8" t="s">
        <v>31</v>
      </c>
      <c r="C12" s="8" t="s">
        <v>68</v>
      </c>
      <c r="D12" s="8" t="s">
        <v>69</v>
      </c>
      <c r="E12" s="8" t="s">
        <v>48</v>
      </c>
      <c r="F12" s="8" t="s">
        <v>35</v>
      </c>
      <c r="G12" s="9" t="n">
        <v>1</v>
      </c>
      <c r="H12" s="8" t="s">
        <v>49</v>
      </c>
      <c r="I12" s="10" t="n">
        <v>1200</v>
      </c>
      <c r="J12" s="11" t="n">
        <f aca="false">G12*I12</f>
        <v>1200</v>
      </c>
      <c r="K12" s="10" t="n">
        <v>300</v>
      </c>
      <c r="L12" s="11" t="n">
        <f aca="false">G12*K12</f>
        <v>300</v>
      </c>
      <c r="M12" s="8" t="s">
        <v>70</v>
      </c>
      <c r="N12" s="8" t="s">
        <v>38</v>
      </c>
      <c r="O12" s="8" t="s">
        <v>71</v>
      </c>
      <c r="P12" s="8" t="s">
        <v>40</v>
      </c>
    </row>
    <row r="13" customFormat="false" ht="26.85" hidden="false" customHeight="false" outlineLevel="0" collapsed="false">
      <c r="A13" s="8" t="n">
        <v>9</v>
      </c>
      <c r="B13" s="8" t="s">
        <v>31</v>
      </c>
      <c r="C13" s="8" t="s">
        <v>72</v>
      </c>
      <c r="D13" s="8" t="s">
        <v>73</v>
      </c>
      <c r="E13" s="8" t="s">
        <v>74</v>
      </c>
      <c r="F13" s="8" t="s">
        <v>35</v>
      </c>
      <c r="G13" s="9" t="n">
        <v>1</v>
      </c>
      <c r="H13" s="8" t="s">
        <v>75</v>
      </c>
      <c r="I13" s="10" t="n">
        <v>1800</v>
      </c>
      <c r="J13" s="11" t="n">
        <f aca="false">G13*I13</f>
        <v>1800</v>
      </c>
      <c r="K13" s="10" t="n">
        <v>60</v>
      </c>
      <c r="L13" s="11" t="n">
        <f aca="false">G13*K13</f>
        <v>60</v>
      </c>
      <c r="M13" s="8" t="s">
        <v>76</v>
      </c>
      <c r="N13" s="8" t="s">
        <v>38</v>
      </c>
      <c r="O13" s="8" t="s">
        <v>77</v>
      </c>
      <c r="P13" s="8" t="s">
        <v>40</v>
      </c>
    </row>
    <row r="14" customFormat="false" ht="26.85" hidden="false" customHeight="false" outlineLevel="0" collapsed="false">
      <c r="A14" s="8" t="n">
        <v>10</v>
      </c>
      <c r="B14" s="8" t="s">
        <v>31</v>
      </c>
      <c r="C14" s="8" t="s">
        <v>78</v>
      </c>
      <c r="D14" s="8" t="s">
        <v>79</v>
      </c>
      <c r="E14" s="8" t="s">
        <v>34</v>
      </c>
      <c r="F14" s="8" t="s">
        <v>35</v>
      </c>
      <c r="G14" s="9" t="n">
        <v>0</v>
      </c>
      <c r="H14" s="8" t="s">
        <v>49</v>
      </c>
      <c r="I14" s="10" t="n">
        <v>2500</v>
      </c>
      <c r="J14" s="11" t="n">
        <f aca="false">G14*I14</f>
        <v>0</v>
      </c>
      <c r="K14" s="10" t="n">
        <v>900</v>
      </c>
      <c r="L14" s="11" t="n">
        <f aca="false">G14*K14</f>
        <v>0</v>
      </c>
      <c r="M14" s="8" t="s">
        <v>80</v>
      </c>
      <c r="N14" s="8" t="s">
        <v>38</v>
      </c>
      <c r="O14" s="8" t="s">
        <v>81</v>
      </c>
      <c r="P14" s="8" t="s">
        <v>40</v>
      </c>
    </row>
    <row r="15" customFormat="false" ht="15" hidden="false" customHeight="false" outlineLevel="0" collapsed="false">
      <c r="A15" s="8" t="n">
        <v>11</v>
      </c>
      <c r="B15" s="8" t="s">
        <v>31</v>
      </c>
      <c r="C15" s="8" t="s">
        <v>82</v>
      </c>
      <c r="D15" s="8" t="s">
        <v>83</v>
      </c>
      <c r="E15" s="8" t="s">
        <v>48</v>
      </c>
      <c r="F15" s="8" t="s">
        <v>43</v>
      </c>
      <c r="G15" s="9" t="n">
        <v>1</v>
      </c>
      <c r="H15" s="8" t="s">
        <v>49</v>
      </c>
      <c r="I15" s="10" t="n">
        <v>500</v>
      </c>
      <c r="J15" s="11" t="n">
        <f aca="false">G15*I15</f>
        <v>500</v>
      </c>
      <c r="K15" s="10" t="n">
        <v>120</v>
      </c>
      <c r="L15" s="11" t="n">
        <f aca="false">G15*K15</f>
        <v>120</v>
      </c>
      <c r="M15" s="8" t="s">
        <v>84</v>
      </c>
      <c r="N15" s="8" t="s">
        <v>38</v>
      </c>
      <c r="O15" s="8" t="s">
        <v>85</v>
      </c>
      <c r="P15" s="8" t="s">
        <v>40</v>
      </c>
    </row>
    <row r="16" customFormat="false" ht="26.85" hidden="false" customHeight="false" outlineLevel="0" collapsed="false">
      <c r="A16" s="8" t="n">
        <v>12</v>
      </c>
      <c r="B16" s="8" t="s">
        <v>31</v>
      </c>
      <c r="C16" s="8" t="s">
        <v>86</v>
      </c>
      <c r="D16" s="8" t="s">
        <v>87</v>
      </c>
      <c r="E16" s="8" t="s">
        <v>88</v>
      </c>
      <c r="F16" s="8" t="s">
        <v>43</v>
      </c>
      <c r="G16" s="9" t="n">
        <v>1</v>
      </c>
      <c r="H16" s="8" t="s">
        <v>61</v>
      </c>
      <c r="I16" s="10" t="n">
        <v>400</v>
      </c>
      <c r="J16" s="11" t="n">
        <f aca="false">G16*I16</f>
        <v>400</v>
      </c>
      <c r="K16" s="10" t="n">
        <v>60</v>
      </c>
      <c r="L16" s="11" t="n">
        <f aca="false">G16*K16</f>
        <v>60</v>
      </c>
      <c r="M16" s="8" t="s">
        <v>89</v>
      </c>
      <c r="N16" s="8" t="s">
        <v>38</v>
      </c>
      <c r="O16" s="8" t="s">
        <v>90</v>
      </c>
      <c r="P16" s="8" t="s">
        <v>40</v>
      </c>
    </row>
    <row r="17" customFormat="false" ht="15" hidden="false" customHeight="false" outlineLevel="0" collapsed="false">
      <c r="A17" s="6"/>
      <c r="B17" s="7" t="s">
        <v>91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26.85" hidden="false" customHeight="false" outlineLevel="0" collapsed="false">
      <c r="A18" s="8" t="n">
        <v>13</v>
      </c>
      <c r="B18" s="8" t="s">
        <v>91</v>
      </c>
      <c r="C18" s="8" t="s">
        <v>92</v>
      </c>
      <c r="D18" s="8" t="s">
        <v>93</v>
      </c>
      <c r="E18" s="8" t="s">
        <v>94</v>
      </c>
      <c r="F18" s="8" t="s">
        <v>43</v>
      </c>
      <c r="G18" s="9" t="n">
        <v>1</v>
      </c>
      <c r="H18" s="8" t="s">
        <v>49</v>
      </c>
      <c r="I18" s="10" t="n">
        <v>1599</v>
      </c>
      <c r="J18" s="11" t="n">
        <f aca="false">G18*I18</f>
        <v>1599</v>
      </c>
      <c r="K18" s="10" t="n">
        <v>700</v>
      </c>
      <c r="L18" s="11" t="n">
        <f aca="false">G18*K18</f>
        <v>700</v>
      </c>
      <c r="M18" s="8" t="s">
        <v>95</v>
      </c>
      <c r="N18" s="8" t="s">
        <v>96</v>
      </c>
      <c r="O18" s="8" t="s">
        <v>97</v>
      </c>
      <c r="P18" s="8" t="s">
        <v>40</v>
      </c>
    </row>
    <row r="19" customFormat="false" ht="26.85" hidden="false" customHeight="false" outlineLevel="0" collapsed="false">
      <c r="A19" s="8" t="n">
        <v>14</v>
      </c>
      <c r="B19" s="8" t="s">
        <v>91</v>
      </c>
      <c r="C19" s="8" t="s">
        <v>98</v>
      </c>
      <c r="D19" s="8" t="s">
        <v>99</v>
      </c>
      <c r="E19" s="8" t="s">
        <v>100</v>
      </c>
      <c r="F19" s="8" t="s">
        <v>43</v>
      </c>
      <c r="G19" s="9" t="n">
        <v>1</v>
      </c>
      <c r="H19" s="8" t="s">
        <v>49</v>
      </c>
      <c r="I19" s="10" t="n">
        <v>1000</v>
      </c>
      <c r="J19" s="11" t="n">
        <f aca="false">G19*I19</f>
        <v>1000</v>
      </c>
      <c r="K19" s="10" t="n">
        <v>350</v>
      </c>
      <c r="L19" s="11" t="n">
        <f aca="false">G19*K19</f>
        <v>350</v>
      </c>
      <c r="M19" s="8" t="s">
        <v>101</v>
      </c>
      <c r="N19" s="8" t="s">
        <v>38</v>
      </c>
      <c r="O19" s="8" t="s">
        <v>102</v>
      </c>
      <c r="P19" s="8" t="s">
        <v>103</v>
      </c>
    </row>
    <row r="20" customFormat="false" ht="26.85" hidden="false" customHeight="false" outlineLevel="0" collapsed="false">
      <c r="A20" s="8" t="n">
        <v>15</v>
      </c>
      <c r="B20" s="8" t="s">
        <v>91</v>
      </c>
      <c r="C20" s="8" t="s">
        <v>104</v>
      </c>
      <c r="D20" s="8" t="s">
        <v>105</v>
      </c>
      <c r="E20" s="8" t="s">
        <v>48</v>
      </c>
      <c r="F20" s="8" t="s">
        <v>43</v>
      </c>
      <c r="G20" s="9" t="n">
        <v>1</v>
      </c>
      <c r="H20" s="8" t="s">
        <v>49</v>
      </c>
      <c r="I20" s="10" t="n">
        <v>900</v>
      </c>
      <c r="J20" s="11" t="n">
        <f aca="false">G20*I20</f>
        <v>900</v>
      </c>
      <c r="K20" s="10" t="n">
        <v>180</v>
      </c>
      <c r="L20" s="11" t="n">
        <f aca="false">G20*K20</f>
        <v>180</v>
      </c>
      <c r="M20" s="8" t="s">
        <v>106</v>
      </c>
      <c r="N20" s="8" t="s">
        <v>38</v>
      </c>
      <c r="O20" s="8" t="s">
        <v>107</v>
      </c>
      <c r="P20" s="8" t="s">
        <v>103</v>
      </c>
    </row>
    <row r="21" customFormat="false" ht="26.85" hidden="false" customHeight="false" outlineLevel="0" collapsed="false">
      <c r="A21" s="8" t="n">
        <v>16</v>
      </c>
      <c r="B21" s="8" t="s">
        <v>91</v>
      </c>
      <c r="C21" s="8" t="s">
        <v>108</v>
      </c>
      <c r="D21" s="8" t="s">
        <v>109</v>
      </c>
      <c r="E21" s="8" t="s">
        <v>110</v>
      </c>
      <c r="F21" s="8" t="s">
        <v>43</v>
      </c>
      <c r="G21" s="9" t="n">
        <v>1</v>
      </c>
      <c r="H21" s="8" t="s">
        <v>49</v>
      </c>
      <c r="I21" s="10" t="n">
        <v>2200</v>
      </c>
      <c r="J21" s="11" t="n">
        <f aca="false">G21*I21</f>
        <v>2200</v>
      </c>
      <c r="K21" s="10" t="n">
        <v>450</v>
      </c>
      <c r="L21" s="11" t="n">
        <f aca="false">G21*K21</f>
        <v>450</v>
      </c>
      <c r="M21" s="8" t="s">
        <v>111</v>
      </c>
      <c r="N21" s="8" t="s">
        <v>38</v>
      </c>
      <c r="O21" s="8" t="s">
        <v>112</v>
      </c>
      <c r="P21" s="8" t="s">
        <v>40</v>
      </c>
    </row>
    <row r="22" customFormat="false" ht="26.85" hidden="false" customHeight="false" outlineLevel="0" collapsed="false">
      <c r="A22" s="8" t="n">
        <v>17</v>
      </c>
      <c r="B22" s="8" t="s">
        <v>91</v>
      </c>
      <c r="C22" s="8" t="s">
        <v>113</v>
      </c>
      <c r="D22" s="8" t="s">
        <v>114</v>
      </c>
      <c r="E22" s="8" t="s">
        <v>48</v>
      </c>
      <c r="F22" s="8" t="s">
        <v>43</v>
      </c>
      <c r="G22" s="9" t="n">
        <v>0</v>
      </c>
      <c r="H22" s="8" t="s">
        <v>115</v>
      </c>
      <c r="I22" s="10" t="n">
        <v>0</v>
      </c>
      <c r="J22" s="11" t="n">
        <f aca="false">G22*I22</f>
        <v>0</v>
      </c>
      <c r="K22" s="10" t="n">
        <v>0</v>
      </c>
      <c r="L22" s="11" t="n">
        <f aca="false">G22*K22</f>
        <v>0</v>
      </c>
      <c r="M22" s="8" t="s">
        <v>116</v>
      </c>
      <c r="N22" s="8" t="s">
        <v>115</v>
      </c>
      <c r="O22" s="8" t="s">
        <v>117</v>
      </c>
      <c r="P22" s="8" t="s">
        <v>40</v>
      </c>
    </row>
    <row r="23" customFormat="false" ht="15" hidden="false" customHeight="false" outlineLevel="0" collapsed="false">
      <c r="A23" s="6"/>
      <c r="B23" s="7" t="s">
        <v>118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customFormat="false" ht="39.55" hidden="false" customHeight="false" outlineLevel="0" collapsed="false">
      <c r="A24" s="8" t="n">
        <v>18</v>
      </c>
      <c r="B24" s="8" t="s">
        <v>118</v>
      </c>
      <c r="C24" s="8" t="s">
        <v>119</v>
      </c>
      <c r="D24" s="8" t="s">
        <v>120</v>
      </c>
      <c r="E24" s="8" t="s">
        <v>121</v>
      </c>
      <c r="F24" s="8" t="s">
        <v>115</v>
      </c>
      <c r="G24" s="9" t="n">
        <v>1</v>
      </c>
      <c r="H24" s="8" t="s">
        <v>49</v>
      </c>
      <c r="I24" s="10" t="n">
        <v>1200</v>
      </c>
      <c r="J24" s="11" t="n">
        <f aca="false">G24*I24</f>
        <v>1200</v>
      </c>
      <c r="K24" s="10" t="n">
        <v>250</v>
      </c>
      <c r="L24" s="11" t="n">
        <f aca="false">G24*K24</f>
        <v>250</v>
      </c>
      <c r="M24" s="8" t="s">
        <v>84</v>
      </c>
      <c r="N24" s="8" t="s">
        <v>38</v>
      </c>
      <c r="O24" s="8" t="s">
        <v>122</v>
      </c>
      <c r="P24" s="8" t="s">
        <v>40</v>
      </c>
    </row>
    <row r="25" customFormat="false" ht="26.85" hidden="false" customHeight="false" outlineLevel="0" collapsed="false">
      <c r="A25" s="8" t="n">
        <v>19</v>
      </c>
      <c r="B25" s="8" t="s">
        <v>118</v>
      </c>
      <c r="C25" s="8" t="s">
        <v>123</v>
      </c>
      <c r="D25" s="8" t="s">
        <v>124</v>
      </c>
      <c r="E25" s="8" t="s">
        <v>125</v>
      </c>
      <c r="F25" s="8" t="s">
        <v>115</v>
      </c>
      <c r="G25" s="9" t="n">
        <v>3</v>
      </c>
      <c r="H25" s="8" t="s">
        <v>49</v>
      </c>
      <c r="I25" s="10" t="n">
        <v>250</v>
      </c>
      <c r="J25" s="11" t="n">
        <f aca="false">G25*I25</f>
        <v>750</v>
      </c>
      <c r="K25" s="10" t="n">
        <v>90</v>
      </c>
      <c r="L25" s="11" t="n">
        <f aca="false">G25*K25</f>
        <v>270</v>
      </c>
      <c r="M25" s="8" t="s">
        <v>126</v>
      </c>
      <c r="N25" s="8" t="s">
        <v>38</v>
      </c>
      <c r="O25" s="8" t="s">
        <v>127</v>
      </c>
      <c r="P25" s="8" t="s">
        <v>40</v>
      </c>
    </row>
    <row r="26" customFormat="false" ht="15" hidden="false" customHeight="false" outlineLevel="0" collapsed="false">
      <c r="A26" s="8" t="n">
        <v>20</v>
      </c>
      <c r="B26" s="8" t="s">
        <v>118</v>
      </c>
      <c r="C26" s="8" t="s">
        <v>128</v>
      </c>
      <c r="D26" s="8" t="s">
        <v>129</v>
      </c>
      <c r="E26" s="8" t="s">
        <v>130</v>
      </c>
      <c r="F26" s="8" t="s">
        <v>115</v>
      </c>
      <c r="G26" s="9" t="n">
        <v>2</v>
      </c>
      <c r="H26" s="8" t="s">
        <v>49</v>
      </c>
      <c r="I26" s="10" t="n">
        <v>60</v>
      </c>
      <c r="J26" s="11" t="n">
        <f aca="false">G26*I26</f>
        <v>120</v>
      </c>
      <c r="K26" s="10" t="n">
        <v>25</v>
      </c>
      <c r="L26" s="11" t="n">
        <f aca="false">G26*K26</f>
        <v>50</v>
      </c>
      <c r="M26" s="8" t="s">
        <v>126</v>
      </c>
      <c r="N26" s="8" t="s">
        <v>38</v>
      </c>
      <c r="O26" s="8" t="s">
        <v>131</v>
      </c>
      <c r="P26" s="8" t="s">
        <v>40</v>
      </c>
    </row>
    <row r="27" customFormat="false" ht="15" hidden="false" customHeight="false" outlineLevel="0" collapsed="false">
      <c r="A27" s="8" t="n">
        <v>21</v>
      </c>
      <c r="B27" s="8" t="s">
        <v>118</v>
      </c>
      <c r="C27" s="8" t="s">
        <v>132</v>
      </c>
      <c r="D27" s="8" t="s">
        <v>133</v>
      </c>
      <c r="E27" s="8" t="s">
        <v>115</v>
      </c>
      <c r="F27" s="8" t="s">
        <v>115</v>
      </c>
      <c r="G27" s="9" t="n">
        <v>2</v>
      </c>
      <c r="H27" s="8" t="s">
        <v>49</v>
      </c>
      <c r="I27" s="10" t="n">
        <v>40</v>
      </c>
      <c r="J27" s="11" t="n">
        <f aca="false">G27*I27</f>
        <v>80</v>
      </c>
      <c r="K27" s="10" t="n">
        <v>12</v>
      </c>
      <c r="L27" s="11" t="n">
        <f aca="false">G27*K27</f>
        <v>24</v>
      </c>
      <c r="M27" s="8" t="s">
        <v>134</v>
      </c>
      <c r="N27" s="8" t="s">
        <v>38</v>
      </c>
      <c r="O27" s="8" t="s">
        <v>135</v>
      </c>
      <c r="P27" s="8" t="s">
        <v>40</v>
      </c>
    </row>
    <row r="28" customFormat="false" ht="26.85" hidden="false" customHeight="false" outlineLevel="0" collapsed="false">
      <c r="A28" s="8" t="n">
        <v>22</v>
      </c>
      <c r="B28" s="8" t="s">
        <v>118</v>
      </c>
      <c r="C28" s="8" t="s">
        <v>136</v>
      </c>
      <c r="D28" s="8" t="s">
        <v>137</v>
      </c>
      <c r="E28" s="8" t="s">
        <v>138</v>
      </c>
      <c r="F28" s="8" t="s">
        <v>115</v>
      </c>
      <c r="G28" s="9" t="n">
        <v>1</v>
      </c>
      <c r="H28" s="8" t="s">
        <v>61</v>
      </c>
      <c r="I28" s="10" t="n">
        <v>1500</v>
      </c>
      <c r="J28" s="11" t="n">
        <f aca="false">G28*I28</f>
        <v>1500</v>
      </c>
      <c r="K28" s="10" t="n">
        <v>300</v>
      </c>
      <c r="L28" s="11" t="n">
        <f aca="false">G28*K28</f>
        <v>300</v>
      </c>
      <c r="M28" s="8" t="s">
        <v>139</v>
      </c>
      <c r="N28" s="8" t="s">
        <v>38</v>
      </c>
      <c r="O28" s="8" t="s">
        <v>140</v>
      </c>
      <c r="P28" s="8" t="s">
        <v>40</v>
      </c>
    </row>
    <row r="29" customFormat="false" ht="26.85" hidden="false" customHeight="false" outlineLevel="0" collapsed="false">
      <c r="A29" s="8" t="n">
        <v>23</v>
      </c>
      <c r="B29" s="8" t="s">
        <v>118</v>
      </c>
      <c r="C29" s="8" t="s">
        <v>141</v>
      </c>
      <c r="D29" s="8" t="s">
        <v>142</v>
      </c>
      <c r="E29" s="8" t="s">
        <v>143</v>
      </c>
      <c r="F29" s="8" t="s">
        <v>115</v>
      </c>
      <c r="G29" s="9" t="n">
        <v>1</v>
      </c>
      <c r="H29" s="8" t="s">
        <v>61</v>
      </c>
      <c r="I29" s="10" t="n">
        <v>300</v>
      </c>
      <c r="J29" s="11" t="n">
        <f aca="false">G29*I29</f>
        <v>300</v>
      </c>
      <c r="K29" s="10" t="n">
        <v>60</v>
      </c>
      <c r="L29" s="11" t="n">
        <f aca="false">G29*K29</f>
        <v>60</v>
      </c>
      <c r="M29" s="8" t="s">
        <v>144</v>
      </c>
      <c r="N29" s="8" t="s">
        <v>38</v>
      </c>
      <c r="O29" s="8"/>
      <c r="P29" s="8" t="s">
        <v>40</v>
      </c>
    </row>
    <row r="30" customFormat="false" ht="15" hidden="false" customHeight="false" outlineLevel="0" collapsed="false">
      <c r="A30" s="6"/>
      <c r="B30" s="7" t="s">
        <v>145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customFormat="false" ht="39.55" hidden="false" customHeight="false" outlineLevel="0" collapsed="false">
      <c r="A31" s="8" t="n">
        <v>24</v>
      </c>
      <c r="B31" s="8" t="s">
        <v>145</v>
      </c>
      <c r="C31" s="8" t="s">
        <v>146</v>
      </c>
      <c r="D31" s="8" t="s">
        <v>147</v>
      </c>
      <c r="E31" s="8" t="s">
        <v>148</v>
      </c>
      <c r="F31" s="8" t="s">
        <v>115</v>
      </c>
      <c r="G31" s="9" t="n">
        <v>1</v>
      </c>
      <c r="H31" s="8" t="s">
        <v>49</v>
      </c>
      <c r="I31" s="10" t="n">
        <v>2500</v>
      </c>
      <c r="J31" s="11" t="n">
        <f aca="false">G31*I31</f>
        <v>2500</v>
      </c>
      <c r="K31" s="10" t="n">
        <v>450</v>
      </c>
      <c r="L31" s="11" t="n">
        <f aca="false">G31*K31</f>
        <v>450</v>
      </c>
      <c r="M31" s="8" t="s">
        <v>149</v>
      </c>
      <c r="N31" s="8" t="s">
        <v>38</v>
      </c>
      <c r="O31" s="8" t="s">
        <v>150</v>
      </c>
      <c r="P31" s="8" t="s">
        <v>103</v>
      </c>
    </row>
    <row r="32" customFormat="false" ht="26.85" hidden="false" customHeight="false" outlineLevel="0" collapsed="false">
      <c r="A32" s="8" t="n">
        <v>25</v>
      </c>
      <c r="B32" s="8" t="s">
        <v>145</v>
      </c>
      <c r="C32" s="8" t="s">
        <v>151</v>
      </c>
      <c r="D32" s="8" t="s">
        <v>152</v>
      </c>
      <c r="E32" s="8" t="s">
        <v>153</v>
      </c>
      <c r="F32" s="8" t="s">
        <v>115</v>
      </c>
      <c r="G32" s="9" t="n">
        <v>1</v>
      </c>
      <c r="H32" s="8" t="s">
        <v>49</v>
      </c>
      <c r="I32" s="10" t="n">
        <v>1500</v>
      </c>
      <c r="J32" s="11" t="n">
        <f aca="false">G32*I32</f>
        <v>1500</v>
      </c>
      <c r="K32" s="10" t="n">
        <v>250</v>
      </c>
      <c r="L32" s="11" t="n">
        <f aca="false">G32*K32</f>
        <v>250</v>
      </c>
      <c r="M32" s="8" t="s">
        <v>154</v>
      </c>
      <c r="N32" s="8" t="s">
        <v>38</v>
      </c>
      <c r="O32" s="8" t="s">
        <v>155</v>
      </c>
      <c r="P32" s="8" t="s">
        <v>103</v>
      </c>
    </row>
    <row r="33" customFormat="false" ht="26.85" hidden="false" customHeight="false" outlineLevel="0" collapsed="false">
      <c r="A33" s="8" t="n">
        <v>26</v>
      </c>
      <c r="B33" s="8" t="s">
        <v>145</v>
      </c>
      <c r="C33" s="8" t="s">
        <v>156</v>
      </c>
      <c r="D33" s="8" t="s">
        <v>157</v>
      </c>
      <c r="E33" s="8" t="s">
        <v>153</v>
      </c>
      <c r="F33" s="8" t="s">
        <v>115</v>
      </c>
      <c r="G33" s="9" t="n">
        <v>1</v>
      </c>
      <c r="H33" s="8" t="s">
        <v>49</v>
      </c>
      <c r="I33" s="10" t="n">
        <v>1200</v>
      </c>
      <c r="J33" s="11" t="n">
        <f aca="false">G33*I33</f>
        <v>1200</v>
      </c>
      <c r="K33" s="10" t="n">
        <v>220</v>
      </c>
      <c r="L33" s="11" t="n">
        <f aca="false">G33*K33</f>
        <v>220</v>
      </c>
      <c r="M33" s="8" t="s">
        <v>44</v>
      </c>
      <c r="N33" s="8" t="s">
        <v>38</v>
      </c>
      <c r="O33" s="8" t="s">
        <v>158</v>
      </c>
      <c r="P33" s="8" t="s">
        <v>103</v>
      </c>
    </row>
    <row r="34" customFormat="false" ht="26.85" hidden="false" customHeight="false" outlineLevel="0" collapsed="false">
      <c r="A34" s="8" t="n">
        <v>27</v>
      </c>
      <c r="B34" s="8" t="s">
        <v>145</v>
      </c>
      <c r="C34" s="8" t="s">
        <v>159</v>
      </c>
      <c r="D34" s="8" t="s">
        <v>160</v>
      </c>
      <c r="E34" s="8" t="s">
        <v>161</v>
      </c>
      <c r="F34" s="8" t="s">
        <v>43</v>
      </c>
      <c r="G34" s="9" t="n">
        <v>1</v>
      </c>
      <c r="H34" s="8" t="s">
        <v>61</v>
      </c>
      <c r="I34" s="10" t="n">
        <v>600</v>
      </c>
      <c r="J34" s="11" t="n">
        <f aca="false">G34*I34</f>
        <v>600</v>
      </c>
      <c r="K34" s="10" t="n">
        <v>150</v>
      </c>
      <c r="L34" s="11" t="n">
        <f aca="false">G34*K34</f>
        <v>150</v>
      </c>
      <c r="M34" s="8" t="s">
        <v>62</v>
      </c>
      <c r="N34" s="8" t="s">
        <v>38</v>
      </c>
      <c r="O34" s="8" t="s">
        <v>162</v>
      </c>
      <c r="P34" s="8" t="s">
        <v>103</v>
      </c>
    </row>
    <row r="35" customFormat="false" ht="26.85" hidden="false" customHeight="false" outlineLevel="0" collapsed="false">
      <c r="A35" s="8" t="n">
        <v>28</v>
      </c>
      <c r="B35" s="8" t="s">
        <v>145</v>
      </c>
      <c r="C35" s="8" t="s">
        <v>163</v>
      </c>
      <c r="D35" s="8" t="s">
        <v>164</v>
      </c>
      <c r="E35" s="8" t="s">
        <v>165</v>
      </c>
      <c r="F35" s="8" t="s">
        <v>115</v>
      </c>
      <c r="G35" s="9" t="n">
        <v>1</v>
      </c>
      <c r="H35" s="8" t="s">
        <v>61</v>
      </c>
      <c r="I35" s="10" t="n">
        <v>450</v>
      </c>
      <c r="J35" s="11" t="n">
        <f aca="false">G35*I35</f>
        <v>450</v>
      </c>
      <c r="K35" s="10" t="n">
        <v>80</v>
      </c>
      <c r="L35" s="11" t="n">
        <f aca="false">G35*K35</f>
        <v>80</v>
      </c>
      <c r="M35" s="8" t="s">
        <v>166</v>
      </c>
      <c r="N35" s="8" t="s">
        <v>38</v>
      </c>
      <c r="O35" s="8"/>
      <c r="P35" s="8" t="s">
        <v>103</v>
      </c>
    </row>
    <row r="36" customFormat="false" ht="15" hidden="false" customHeight="false" outlineLevel="0" collapsed="false">
      <c r="A36" s="6"/>
      <c r="B36" s="7" t="s">
        <v>167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customFormat="false" ht="26.85" hidden="false" customHeight="false" outlineLevel="0" collapsed="false">
      <c r="A37" s="8" t="n">
        <v>29</v>
      </c>
      <c r="B37" s="8" t="s">
        <v>167</v>
      </c>
      <c r="C37" s="8" t="s">
        <v>168</v>
      </c>
      <c r="D37" s="8" t="s">
        <v>169</v>
      </c>
      <c r="E37" s="8" t="s">
        <v>115</v>
      </c>
      <c r="F37" s="8" t="s">
        <v>115</v>
      </c>
      <c r="G37" s="9" t="n">
        <v>1</v>
      </c>
      <c r="H37" s="8" t="s">
        <v>49</v>
      </c>
      <c r="I37" s="10" t="n">
        <v>900</v>
      </c>
      <c r="J37" s="11" t="n">
        <f aca="false">G37*I37</f>
        <v>900</v>
      </c>
      <c r="K37" s="10" t="n">
        <v>280</v>
      </c>
      <c r="L37" s="11" t="n">
        <f aca="false">G37*K37</f>
        <v>280</v>
      </c>
      <c r="M37" s="8" t="s">
        <v>170</v>
      </c>
      <c r="N37" s="8" t="s">
        <v>38</v>
      </c>
      <c r="O37" s="8" t="s">
        <v>171</v>
      </c>
      <c r="P37" s="8" t="s">
        <v>40</v>
      </c>
    </row>
    <row r="38" customFormat="false" ht="39.55" hidden="false" customHeight="false" outlineLevel="0" collapsed="false">
      <c r="A38" s="8" t="n">
        <v>30</v>
      </c>
      <c r="B38" s="8" t="s">
        <v>167</v>
      </c>
      <c r="C38" s="8" t="s">
        <v>172</v>
      </c>
      <c r="D38" s="8" t="s">
        <v>173</v>
      </c>
      <c r="E38" s="8" t="s">
        <v>115</v>
      </c>
      <c r="F38" s="8" t="s">
        <v>115</v>
      </c>
      <c r="G38" s="9" t="n">
        <v>1</v>
      </c>
      <c r="H38" s="8" t="s">
        <v>49</v>
      </c>
      <c r="I38" s="10" t="n">
        <v>1200</v>
      </c>
      <c r="J38" s="11" t="n">
        <f aca="false">G38*I38</f>
        <v>1200</v>
      </c>
      <c r="K38" s="10" t="n">
        <v>450</v>
      </c>
      <c r="L38" s="11" t="n">
        <f aca="false">G38*K38</f>
        <v>450</v>
      </c>
      <c r="M38" s="8" t="s">
        <v>174</v>
      </c>
      <c r="N38" s="8" t="s">
        <v>38</v>
      </c>
      <c r="O38" s="8" t="s">
        <v>175</v>
      </c>
      <c r="P38" s="8" t="s">
        <v>103</v>
      </c>
    </row>
    <row r="39" customFormat="false" ht="26.85" hidden="false" customHeight="false" outlineLevel="0" collapsed="false">
      <c r="A39" s="8" t="n">
        <v>31</v>
      </c>
      <c r="B39" s="8" t="s">
        <v>167</v>
      </c>
      <c r="C39" s="8" t="s">
        <v>176</v>
      </c>
      <c r="D39" s="8" t="s">
        <v>177</v>
      </c>
      <c r="E39" s="8" t="s">
        <v>115</v>
      </c>
      <c r="F39" s="8" t="s">
        <v>115</v>
      </c>
      <c r="G39" s="9" t="n">
        <v>8</v>
      </c>
      <c r="H39" s="8" t="s">
        <v>49</v>
      </c>
      <c r="I39" s="10" t="n">
        <v>450</v>
      </c>
      <c r="J39" s="11" t="n">
        <f aca="false">G39*I39</f>
        <v>3600</v>
      </c>
      <c r="K39" s="10" t="n">
        <v>190</v>
      </c>
      <c r="L39" s="11" t="n">
        <f aca="false">G39*K39</f>
        <v>1520</v>
      </c>
      <c r="M39" s="8" t="s">
        <v>178</v>
      </c>
      <c r="N39" s="8" t="s">
        <v>38</v>
      </c>
      <c r="O39" s="8" t="s">
        <v>179</v>
      </c>
      <c r="P39" s="8" t="s">
        <v>103</v>
      </c>
    </row>
    <row r="40" customFormat="false" ht="15" hidden="false" customHeight="false" outlineLevel="0" collapsed="false">
      <c r="A40" s="8" t="n">
        <v>32</v>
      </c>
      <c r="B40" s="8" t="s">
        <v>167</v>
      </c>
      <c r="C40" s="8" t="s">
        <v>180</v>
      </c>
      <c r="D40" s="8" t="s">
        <v>181</v>
      </c>
      <c r="E40" s="8" t="s">
        <v>115</v>
      </c>
      <c r="F40" s="8" t="s">
        <v>115</v>
      </c>
      <c r="G40" s="9" t="n">
        <v>1</v>
      </c>
      <c r="H40" s="8" t="s">
        <v>49</v>
      </c>
      <c r="I40" s="10" t="n">
        <v>450</v>
      </c>
      <c r="J40" s="11" t="n">
        <f aca="false">G40*I40</f>
        <v>450</v>
      </c>
      <c r="K40" s="10" t="n">
        <v>120</v>
      </c>
      <c r="L40" s="11" t="n">
        <f aca="false">G40*K40</f>
        <v>120</v>
      </c>
      <c r="M40" s="8" t="s">
        <v>126</v>
      </c>
      <c r="N40" s="8" t="s">
        <v>38</v>
      </c>
      <c r="O40" s="8"/>
      <c r="P40" s="8" t="s">
        <v>103</v>
      </c>
    </row>
    <row r="41" customFormat="false" ht="15" hidden="false" customHeight="false" outlineLevel="0" collapsed="false">
      <c r="A41" s="8" t="n">
        <v>33</v>
      </c>
      <c r="B41" s="8" t="s">
        <v>167</v>
      </c>
      <c r="C41" s="8" t="s">
        <v>182</v>
      </c>
      <c r="D41" s="8" t="s">
        <v>183</v>
      </c>
      <c r="E41" s="8" t="s">
        <v>115</v>
      </c>
      <c r="F41" s="8" t="s">
        <v>115</v>
      </c>
      <c r="G41" s="9" t="n">
        <v>1</v>
      </c>
      <c r="H41" s="8" t="s">
        <v>61</v>
      </c>
      <c r="I41" s="10" t="n">
        <v>600</v>
      </c>
      <c r="J41" s="11" t="n">
        <f aca="false">G41*I41</f>
        <v>600</v>
      </c>
      <c r="K41" s="10" t="n">
        <v>100</v>
      </c>
      <c r="L41" s="11" t="n">
        <f aca="false">G41*K41</f>
        <v>100</v>
      </c>
      <c r="M41" s="8" t="s">
        <v>184</v>
      </c>
      <c r="N41" s="8" t="s">
        <v>38</v>
      </c>
      <c r="O41" s="8"/>
      <c r="P41" s="8" t="s">
        <v>103</v>
      </c>
    </row>
    <row r="42" customFormat="false" ht="15" hidden="false" customHeight="false" outlineLevel="0" collapsed="false">
      <c r="A42" s="8" t="n">
        <v>34</v>
      </c>
      <c r="B42" s="8" t="s">
        <v>167</v>
      </c>
      <c r="C42" s="8" t="s">
        <v>185</v>
      </c>
      <c r="D42" s="8" t="s">
        <v>186</v>
      </c>
      <c r="E42" s="8" t="s">
        <v>115</v>
      </c>
      <c r="F42" s="8" t="s">
        <v>115</v>
      </c>
      <c r="G42" s="9" t="n">
        <v>2</v>
      </c>
      <c r="H42" s="8" t="s">
        <v>49</v>
      </c>
      <c r="I42" s="10" t="n">
        <v>150</v>
      </c>
      <c r="J42" s="11" t="n">
        <f aca="false">G42*I42</f>
        <v>300</v>
      </c>
      <c r="K42" s="10" t="n">
        <v>40</v>
      </c>
      <c r="L42" s="11" t="n">
        <f aca="false">G42*K42</f>
        <v>80</v>
      </c>
      <c r="M42" s="8" t="s">
        <v>126</v>
      </c>
      <c r="N42" s="8" t="s">
        <v>38</v>
      </c>
      <c r="O42" s="8"/>
      <c r="P42" s="8" t="s">
        <v>40</v>
      </c>
    </row>
    <row r="43" customFormat="false" ht="15" hidden="false" customHeight="false" outlineLevel="0" collapsed="false">
      <c r="A43" s="8" t="n">
        <v>35</v>
      </c>
      <c r="B43" s="8" t="s">
        <v>167</v>
      </c>
      <c r="C43" s="8" t="s">
        <v>187</v>
      </c>
      <c r="D43" s="8" t="s">
        <v>188</v>
      </c>
      <c r="E43" s="8" t="s">
        <v>115</v>
      </c>
      <c r="F43" s="8" t="s">
        <v>115</v>
      </c>
      <c r="G43" s="9" t="n">
        <v>1</v>
      </c>
      <c r="H43" s="8" t="s">
        <v>49</v>
      </c>
      <c r="I43" s="10" t="n">
        <v>120</v>
      </c>
      <c r="J43" s="11" t="n">
        <f aca="false">G43*I43</f>
        <v>120</v>
      </c>
      <c r="K43" s="10" t="n">
        <v>40</v>
      </c>
      <c r="L43" s="11" t="n">
        <f aca="false">G43*K43</f>
        <v>40</v>
      </c>
      <c r="M43" s="8" t="s">
        <v>126</v>
      </c>
      <c r="N43" s="8" t="s">
        <v>38</v>
      </c>
      <c r="O43" s="8"/>
      <c r="P43" s="8" t="s">
        <v>40</v>
      </c>
    </row>
    <row r="44" customFormat="false" ht="15" hidden="false" customHeight="false" outlineLevel="0" collapsed="false">
      <c r="A44" s="8" t="n">
        <v>36</v>
      </c>
      <c r="B44" s="8" t="s">
        <v>167</v>
      </c>
      <c r="C44" s="8" t="s">
        <v>189</v>
      </c>
      <c r="D44" s="8" t="s">
        <v>190</v>
      </c>
      <c r="E44" s="8" t="s">
        <v>115</v>
      </c>
      <c r="F44" s="8" t="s">
        <v>115</v>
      </c>
      <c r="G44" s="9" t="n">
        <v>2</v>
      </c>
      <c r="H44" s="8" t="s">
        <v>49</v>
      </c>
      <c r="I44" s="10" t="n">
        <v>350</v>
      </c>
      <c r="J44" s="11" t="n">
        <f aca="false">G44*I44</f>
        <v>700</v>
      </c>
      <c r="K44" s="10" t="n">
        <v>90</v>
      </c>
      <c r="L44" s="11" t="n">
        <f aca="false">G44*K44</f>
        <v>180</v>
      </c>
      <c r="M44" s="8" t="s">
        <v>126</v>
      </c>
      <c r="N44" s="8" t="s">
        <v>38</v>
      </c>
      <c r="O44" s="8"/>
      <c r="P44" s="8" t="s">
        <v>40</v>
      </c>
    </row>
    <row r="45" customFormat="false" ht="26.85" hidden="false" customHeight="false" outlineLevel="0" collapsed="false">
      <c r="A45" s="8" t="n">
        <v>37</v>
      </c>
      <c r="B45" s="8" t="s">
        <v>167</v>
      </c>
      <c r="C45" s="8" t="s">
        <v>191</v>
      </c>
      <c r="D45" s="8" t="s">
        <v>192</v>
      </c>
      <c r="E45" s="8" t="s">
        <v>48</v>
      </c>
      <c r="F45" s="8" t="s">
        <v>35</v>
      </c>
      <c r="G45" s="9" t="n">
        <v>6</v>
      </c>
      <c r="H45" s="8" t="s">
        <v>49</v>
      </c>
      <c r="I45" s="10" t="n">
        <v>150</v>
      </c>
      <c r="J45" s="11" t="n">
        <f aca="false">G45*I45</f>
        <v>900</v>
      </c>
      <c r="K45" s="10" t="n">
        <v>60</v>
      </c>
      <c r="L45" s="11" t="n">
        <f aca="false">G45*K45</f>
        <v>360</v>
      </c>
      <c r="M45" s="8" t="s">
        <v>193</v>
      </c>
      <c r="N45" s="8" t="s">
        <v>38</v>
      </c>
      <c r="O45" s="8" t="s">
        <v>194</v>
      </c>
      <c r="P45" s="8" t="s">
        <v>40</v>
      </c>
    </row>
    <row r="46" customFormat="false" ht="26.85" hidden="false" customHeight="false" outlineLevel="0" collapsed="false">
      <c r="A46" s="8" t="n">
        <v>38</v>
      </c>
      <c r="B46" s="8" t="s">
        <v>167</v>
      </c>
      <c r="C46" s="8" t="s">
        <v>195</v>
      </c>
      <c r="D46" s="8" t="s">
        <v>196</v>
      </c>
      <c r="E46" s="8" t="s">
        <v>48</v>
      </c>
      <c r="F46" s="8" t="s">
        <v>35</v>
      </c>
      <c r="G46" s="9" t="n">
        <v>2</v>
      </c>
      <c r="H46" s="8" t="s">
        <v>61</v>
      </c>
      <c r="I46" s="10" t="n">
        <v>400</v>
      </c>
      <c r="J46" s="11" t="n">
        <f aca="false">G46*I46</f>
        <v>800</v>
      </c>
      <c r="K46" s="10" t="n">
        <v>80</v>
      </c>
      <c r="L46" s="11" t="n">
        <f aca="false">G46*K46</f>
        <v>160</v>
      </c>
      <c r="M46" s="8" t="s">
        <v>84</v>
      </c>
      <c r="N46" s="8" t="s">
        <v>38</v>
      </c>
      <c r="O46" s="8" t="s">
        <v>197</v>
      </c>
      <c r="P46" s="8" t="s">
        <v>40</v>
      </c>
    </row>
    <row r="47" customFormat="false" ht="15" hidden="false" customHeight="false" outlineLevel="0" collapsed="false">
      <c r="A47" s="8" t="n">
        <v>39</v>
      </c>
      <c r="B47" s="8" t="s">
        <v>167</v>
      </c>
      <c r="C47" s="8" t="s">
        <v>198</v>
      </c>
      <c r="D47" s="8" t="s">
        <v>199</v>
      </c>
      <c r="E47" s="8" t="s">
        <v>115</v>
      </c>
      <c r="F47" s="8" t="s">
        <v>115</v>
      </c>
      <c r="G47" s="9" t="n">
        <v>1</v>
      </c>
      <c r="H47" s="8" t="s">
        <v>49</v>
      </c>
      <c r="I47" s="10" t="n">
        <v>450</v>
      </c>
      <c r="J47" s="11" t="n">
        <f aca="false">G47*I47</f>
        <v>450</v>
      </c>
      <c r="K47" s="10" t="n">
        <v>200</v>
      </c>
      <c r="L47" s="11" t="n">
        <f aca="false">G47*K47</f>
        <v>200</v>
      </c>
      <c r="M47" s="8" t="s">
        <v>126</v>
      </c>
      <c r="N47" s="8" t="s">
        <v>38</v>
      </c>
      <c r="O47" s="8" t="s">
        <v>200</v>
      </c>
      <c r="P47" s="8" t="s">
        <v>103</v>
      </c>
    </row>
    <row r="48" customFormat="false" ht="15" hidden="false" customHeight="false" outlineLevel="0" collapsed="false">
      <c r="A48" s="8" t="n">
        <v>40</v>
      </c>
      <c r="B48" s="8" t="s">
        <v>167</v>
      </c>
      <c r="C48" s="8" t="s">
        <v>201</v>
      </c>
      <c r="D48" s="8" t="s">
        <v>202</v>
      </c>
      <c r="E48" s="8" t="s">
        <v>115</v>
      </c>
      <c r="F48" s="8" t="s">
        <v>115</v>
      </c>
      <c r="G48" s="9" t="n">
        <v>1</v>
      </c>
      <c r="H48" s="8" t="s">
        <v>61</v>
      </c>
      <c r="I48" s="10" t="n">
        <v>120</v>
      </c>
      <c r="J48" s="11" t="n">
        <f aca="false">G48*I48</f>
        <v>120</v>
      </c>
      <c r="K48" s="10" t="n">
        <v>40</v>
      </c>
      <c r="L48" s="11" t="n">
        <f aca="false">G48*K48</f>
        <v>40</v>
      </c>
      <c r="M48" s="8" t="s">
        <v>126</v>
      </c>
      <c r="N48" s="8" t="s">
        <v>38</v>
      </c>
      <c r="O48" s="8"/>
      <c r="P48" s="8" t="s">
        <v>103</v>
      </c>
    </row>
    <row r="49" customFormat="false" ht="26.85" hidden="false" customHeight="false" outlineLevel="0" collapsed="false">
      <c r="A49" s="8" t="n">
        <v>41</v>
      </c>
      <c r="B49" s="8" t="s">
        <v>167</v>
      </c>
      <c r="C49" s="8" t="s">
        <v>203</v>
      </c>
      <c r="D49" s="8" t="s">
        <v>204</v>
      </c>
      <c r="E49" s="8" t="s">
        <v>115</v>
      </c>
      <c r="F49" s="8" t="s">
        <v>115</v>
      </c>
      <c r="G49" s="9" t="n">
        <v>1</v>
      </c>
      <c r="H49" s="8" t="s">
        <v>61</v>
      </c>
      <c r="I49" s="10" t="n">
        <v>500</v>
      </c>
      <c r="J49" s="11" t="n">
        <f aca="false">G49*I49</f>
        <v>500</v>
      </c>
      <c r="K49" s="10" t="n">
        <v>150</v>
      </c>
      <c r="L49" s="11" t="n">
        <f aca="false">G49*K49</f>
        <v>150</v>
      </c>
      <c r="M49" s="8" t="s">
        <v>126</v>
      </c>
      <c r="N49" s="8" t="s">
        <v>38</v>
      </c>
      <c r="O49" s="8" t="s">
        <v>205</v>
      </c>
      <c r="P49" s="8" t="s">
        <v>103</v>
      </c>
    </row>
    <row r="50" customFormat="false" ht="26.85" hidden="false" customHeight="false" outlineLevel="0" collapsed="false">
      <c r="A50" s="8" t="n">
        <v>42</v>
      </c>
      <c r="B50" s="8" t="s">
        <v>167</v>
      </c>
      <c r="C50" s="8" t="s">
        <v>206</v>
      </c>
      <c r="D50" s="8" t="s">
        <v>207</v>
      </c>
      <c r="E50" s="8" t="s">
        <v>115</v>
      </c>
      <c r="F50" s="8" t="s">
        <v>115</v>
      </c>
      <c r="G50" s="9" t="n">
        <v>1</v>
      </c>
      <c r="H50" s="8" t="s">
        <v>61</v>
      </c>
      <c r="I50" s="10" t="n">
        <v>450</v>
      </c>
      <c r="J50" s="11" t="n">
        <f aca="false">G50*I50</f>
        <v>450</v>
      </c>
      <c r="K50" s="10" t="n">
        <v>150</v>
      </c>
      <c r="L50" s="11" t="n">
        <f aca="false">G50*K50</f>
        <v>150</v>
      </c>
      <c r="M50" s="8" t="s">
        <v>208</v>
      </c>
      <c r="N50" s="8" t="s">
        <v>38</v>
      </c>
      <c r="O50" s="8"/>
      <c r="P50" s="8" t="s">
        <v>103</v>
      </c>
    </row>
    <row r="51" customFormat="false" ht="26.85" hidden="false" customHeight="false" outlineLevel="0" collapsed="false">
      <c r="A51" s="8" t="n">
        <v>43</v>
      </c>
      <c r="B51" s="8" t="s">
        <v>167</v>
      </c>
      <c r="C51" s="8" t="s">
        <v>209</v>
      </c>
      <c r="D51" s="8" t="s">
        <v>210</v>
      </c>
      <c r="E51" s="8" t="s">
        <v>211</v>
      </c>
      <c r="F51" s="8" t="s">
        <v>115</v>
      </c>
      <c r="G51" s="9" t="n">
        <v>1</v>
      </c>
      <c r="H51" s="8" t="s">
        <v>212</v>
      </c>
      <c r="I51" s="10" t="n">
        <v>2500</v>
      </c>
      <c r="J51" s="11" t="n">
        <f aca="false">G51*I51</f>
        <v>2500</v>
      </c>
      <c r="K51" s="10" t="n">
        <v>250</v>
      </c>
      <c r="L51" s="11" t="n">
        <f aca="false">G51*K51</f>
        <v>250</v>
      </c>
      <c r="M51" s="8" t="s">
        <v>213</v>
      </c>
      <c r="N51" s="8" t="s">
        <v>38</v>
      </c>
      <c r="O51" s="8" t="s">
        <v>214</v>
      </c>
      <c r="P51" s="8" t="s">
        <v>103</v>
      </c>
    </row>
    <row r="52" customFormat="false" ht="26.85" hidden="false" customHeight="false" outlineLevel="0" collapsed="false">
      <c r="A52" s="8" t="n">
        <v>44</v>
      </c>
      <c r="B52" s="8" t="s">
        <v>167</v>
      </c>
      <c r="C52" s="8" t="s">
        <v>215</v>
      </c>
      <c r="D52" s="8" t="s">
        <v>216</v>
      </c>
      <c r="E52" s="8" t="s">
        <v>115</v>
      </c>
      <c r="F52" s="8" t="s">
        <v>115</v>
      </c>
      <c r="G52" s="9" t="n">
        <v>1</v>
      </c>
      <c r="H52" s="8" t="s">
        <v>61</v>
      </c>
      <c r="I52" s="10" t="n">
        <v>600</v>
      </c>
      <c r="J52" s="11" t="n">
        <f aca="false">G52*I52</f>
        <v>600</v>
      </c>
      <c r="K52" s="10" t="n">
        <v>120</v>
      </c>
      <c r="L52" s="11" t="n">
        <f aca="false">G52*K52</f>
        <v>120</v>
      </c>
      <c r="M52" s="8" t="s">
        <v>126</v>
      </c>
      <c r="N52" s="8" t="s">
        <v>38</v>
      </c>
      <c r="O52" s="8"/>
      <c r="P52" s="8" t="s">
        <v>40</v>
      </c>
    </row>
    <row r="53" customFormat="false" ht="26.85" hidden="false" customHeight="false" outlineLevel="0" collapsed="false">
      <c r="A53" s="8" t="n">
        <v>45</v>
      </c>
      <c r="B53" s="8" t="s">
        <v>167</v>
      </c>
      <c r="C53" s="8" t="s">
        <v>217</v>
      </c>
      <c r="D53" s="8" t="s">
        <v>218</v>
      </c>
      <c r="E53" s="8" t="s">
        <v>115</v>
      </c>
      <c r="F53" s="8" t="s">
        <v>115</v>
      </c>
      <c r="G53" s="9" t="n">
        <v>0</v>
      </c>
      <c r="H53" s="8" t="s">
        <v>49</v>
      </c>
      <c r="I53" s="10" t="n">
        <v>3000</v>
      </c>
      <c r="J53" s="11" t="n">
        <f aca="false">G53*I53</f>
        <v>0</v>
      </c>
      <c r="K53" s="10" t="n">
        <v>0</v>
      </c>
      <c r="L53" s="11" t="n">
        <f aca="false">G53*K53</f>
        <v>0</v>
      </c>
      <c r="M53" s="8" t="s">
        <v>219</v>
      </c>
      <c r="N53" s="8" t="s">
        <v>38</v>
      </c>
      <c r="O53" s="8" t="s">
        <v>220</v>
      </c>
      <c r="P53" s="8" t="s">
        <v>40</v>
      </c>
    </row>
    <row r="55" customFormat="false" ht="15" hidden="false" customHeight="false" outlineLevel="0" collapsed="false">
      <c r="I55" s="12" t="s">
        <v>221</v>
      </c>
      <c r="J55" s="13" t="n">
        <f aca="false">SUM(J4:J53)</f>
        <v>51464</v>
      </c>
      <c r="L55" s="13" t="n">
        <f aca="false">SUM(L4:L53)</f>
        <v>12234</v>
      </c>
    </row>
    <row r="56" customFormat="false" ht="15" hidden="false" customHeight="false" outlineLevel="0" collapsed="false">
      <c r="H56" s="14" t="n">
        <v>0.15</v>
      </c>
      <c r="I56" s="12" t="s">
        <v>222</v>
      </c>
      <c r="J56" s="15" t="n">
        <f aca="false">J55*H56</f>
        <v>7719.6</v>
      </c>
      <c r="L56" s="15"/>
    </row>
    <row r="57" customFormat="false" ht="15" hidden="false" customHeight="false" outlineLevel="0" collapsed="false">
      <c r="I57" s="12" t="s">
        <v>223</v>
      </c>
      <c r="J57" s="13" t="n">
        <f aca="false">J55+J56</f>
        <v>59183.6</v>
      </c>
      <c r="L57" s="15"/>
    </row>
    <row r="58" customFormat="false" ht="15" hidden="false" customHeight="false" outlineLevel="0" collapsed="false">
      <c r="I58" s="12" t="s">
        <v>224</v>
      </c>
      <c r="J58" s="16" t="n">
        <v>50000</v>
      </c>
      <c r="L58" s="15"/>
    </row>
    <row r="59" customFormat="false" ht="15" hidden="false" customHeight="false" outlineLevel="0" collapsed="false">
      <c r="I59" s="12" t="s">
        <v>225</v>
      </c>
      <c r="J59" s="15" t="n">
        <f aca="false">J58-J57</f>
        <v>-9183.6</v>
      </c>
      <c r="L59" s="15"/>
    </row>
    <row r="60" customFormat="false" ht="15" hidden="false" customHeight="false" outlineLevel="0" collapsed="false">
      <c r="J60" s="15"/>
      <c r="L60" s="15"/>
    </row>
    <row r="61" customFormat="false" ht="15" hidden="false" customHeight="false" outlineLevel="0" collapsed="false">
      <c r="I61" s="12" t="s">
        <v>226</v>
      </c>
      <c r="J61" s="15" t="n">
        <f aca="false">SUMIF(P4:P53,"Bench",J4:J53)*(1+H56)</f>
        <v>38460.6</v>
      </c>
      <c r="L61" s="15"/>
    </row>
    <row r="62" customFormat="false" ht="15" hidden="false" customHeight="false" outlineLevel="0" collapsed="false">
      <c r="I62" s="12" t="s">
        <v>227</v>
      </c>
      <c r="J62" s="15" t="n">
        <f aca="false">SUMIF(P4:P53,"Integrated",J4:J53)*(1+H56)</f>
        <v>20723</v>
      </c>
      <c r="L62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2" t="s">
        <v>228</v>
      </c>
    </row>
    <row r="2" customFormat="false" ht="15" hidden="false" customHeight="false" outlineLevel="0" collapsed="false">
      <c r="A2" s="17" t="s">
        <v>229</v>
      </c>
      <c r="B2" s="18" t="n">
        <f aca="false">'Prototype BOM'!L55</f>
        <v>12234</v>
      </c>
    </row>
    <row r="3" customFormat="false" ht="15" hidden="false" customHeight="false" outlineLevel="0" collapsed="false">
      <c r="A3" s="17" t="s">
        <v>230</v>
      </c>
      <c r="B3" s="19" t="n">
        <v>900</v>
      </c>
    </row>
    <row r="4" customFormat="false" ht="15" hidden="false" customHeight="false" outlineLevel="0" collapsed="false">
      <c r="A4" s="17" t="s">
        <v>231</v>
      </c>
      <c r="B4" s="20" t="n">
        <f aca="false">B8/B9</f>
        <v>650</v>
      </c>
    </row>
    <row r="5" customFormat="false" ht="15" hidden="false" customHeight="false" outlineLevel="0" collapsed="false">
      <c r="A5" s="17" t="s">
        <v>232</v>
      </c>
      <c r="B5" s="20" t="n">
        <f aca="false">B2+B3+B4</f>
        <v>13784</v>
      </c>
    </row>
    <row r="6" customFormat="false" ht="15" hidden="false" customHeight="false" outlineLevel="0" collapsed="false">
      <c r="A6" s="17" t="s">
        <v>233</v>
      </c>
      <c r="B6" s="14" t="n">
        <v>0.35</v>
      </c>
    </row>
    <row r="7" customFormat="false" ht="15" hidden="false" customHeight="false" outlineLevel="0" collapsed="false">
      <c r="A7" s="17" t="s">
        <v>234</v>
      </c>
      <c r="B7" s="20" t="n">
        <f aca="false">B5/B6</f>
        <v>39382.8571428571</v>
      </c>
    </row>
    <row r="8" customFormat="false" ht="15" hidden="false" customHeight="false" outlineLevel="0" collapsed="false">
      <c r="A8" s="17" t="s">
        <v>235</v>
      </c>
      <c r="B8" s="21" t="n">
        <v>650000</v>
      </c>
    </row>
    <row r="9" customFormat="false" ht="15" hidden="false" customHeight="false" outlineLevel="0" collapsed="false">
      <c r="A9" s="17" t="s">
        <v>236</v>
      </c>
      <c r="B9" s="21" t="n">
        <v>1000</v>
      </c>
    </row>
    <row r="10" customFormat="false" ht="15" hidden="false" customHeight="false" outlineLevel="0" collapsed="false">
      <c r="A10" s="17" t="s">
        <v>237</v>
      </c>
      <c r="B10" s="19" t="n">
        <v>3000</v>
      </c>
    </row>
    <row r="11" customFormat="false" ht="15" hidden="false" customHeight="false" outlineLevel="0" collapsed="false">
      <c r="A11" s="17" t="s">
        <v>238</v>
      </c>
      <c r="B11" s="19" t="n">
        <v>8000</v>
      </c>
    </row>
    <row r="12" customFormat="false" ht="15" hidden="false" customHeight="false" outlineLevel="0" collapsed="false">
      <c r="A12" s="17" t="s">
        <v>239</v>
      </c>
      <c r="B12" s="22" t="n">
        <f aca="false">B7/B11</f>
        <v>4.92285714285714</v>
      </c>
    </row>
    <row r="13" customFormat="false" ht="15" hidden="false" customHeight="false" outlineLevel="0" collapsed="false">
      <c r="A13" s="17" t="s">
        <v>240</v>
      </c>
      <c r="B13" s="20" t="n">
        <f aca="false">B7*0.175</f>
        <v>6892</v>
      </c>
    </row>
    <row r="15" customFormat="false" ht="15" hidden="false" customHeight="false" outlineLevel="0" collapsed="false">
      <c r="A15" s="2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24" t="s">
        <v>18</v>
      </c>
      <c r="B1" s="24" t="s">
        <v>20</v>
      </c>
      <c r="C1" s="24" t="s">
        <v>242</v>
      </c>
      <c r="D1" s="24" t="s">
        <v>243</v>
      </c>
      <c r="E1" s="24" t="s">
        <v>244</v>
      </c>
      <c r="F1" s="24" t="s">
        <v>245</v>
      </c>
    </row>
    <row r="2" customFormat="false" ht="26.85" hidden="false" customHeight="false" outlineLevel="0" collapsed="false">
      <c r="A2" s="3" t="s">
        <v>246</v>
      </c>
      <c r="B2" s="3" t="s">
        <v>247</v>
      </c>
      <c r="C2" s="3" t="s">
        <v>248</v>
      </c>
      <c r="D2" s="3" t="s">
        <v>249</v>
      </c>
      <c r="E2" s="3" t="s">
        <v>250</v>
      </c>
      <c r="F2" s="3" t="s">
        <v>251</v>
      </c>
    </row>
    <row r="3" customFormat="false" ht="15" hidden="false" customHeight="false" outlineLevel="0" collapsed="false">
      <c r="A3" s="3" t="s">
        <v>252</v>
      </c>
      <c r="B3" s="3" t="s">
        <v>253</v>
      </c>
      <c r="C3" s="3" t="s">
        <v>254</v>
      </c>
      <c r="D3" s="3" t="s">
        <v>255</v>
      </c>
      <c r="E3" s="3" t="s">
        <v>256</v>
      </c>
      <c r="F3" s="3" t="s">
        <v>257</v>
      </c>
    </row>
    <row r="4" customFormat="false" ht="26.85" hidden="false" customHeight="false" outlineLevel="0" collapsed="false">
      <c r="A4" s="3" t="s">
        <v>258</v>
      </c>
      <c r="B4" s="3" t="s">
        <v>259</v>
      </c>
      <c r="C4" s="3" t="s">
        <v>260</v>
      </c>
      <c r="D4" s="3" t="s">
        <v>261</v>
      </c>
      <c r="E4" s="3" t="s">
        <v>262</v>
      </c>
      <c r="F4" s="3" t="s">
        <v>263</v>
      </c>
    </row>
    <row r="5" customFormat="false" ht="26.85" hidden="false" customHeight="false" outlineLevel="0" collapsed="false">
      <c r="A5" s="3" t="s">
        <v>264</v>
      </c>
      <c r="B5" s="3" t="s">
        <v>265</v>
      </c>
      <c r="C5" s="3" t="s">
        <v>266</v>
      </c>
      <c r="D5" s="3" t="s">
        <v>267</v>
      </c>
      <c r="E5" s="3" t="s">
        <v>268</v>
      </c>
      <c r="F5" s="3" t="s">
        <v>269</v>
      </c>
    </row>
    <row r="6" customFormat="false" ht="26.85" hidden="false" customHeight="false" outlineLevel="0" collapsed="false">
      <c r="A6" s="3" t="s">
        <v>270</v>
      </c>
      <c r="B6" s="3" t="s">
        <v>271</v>
      </c>
      <c r="C6" s="3" t="s">
        <v>272</v>
      </c>
      <c r="D6" s="3" t="s">
        <v>273</v>
      </c>
      <c r="E6" s="3" t="s">
        <v>274</v>
      </c>
      <c r="F6" s="3" t="s">
        <v>275</v>
      </c>
    </row>
    <row r="7" customFormat="false" ht="26.85" hidden="false" customHeight="false" outlineLevel="0" collapsed="false">
      <c r="A7" s="3" t="s">
        <v>276</v>
      </c>
      <c r="B7" s="3" t="s">
        <v>277</v>
      </c>
      <c r="C7" s="3" t="s">
        <v>278</v>
      </c>
      <c r="D7" s="3" t="s">
        <v>279</v>
      </c>
      <c r="E7" s="3" t="s">
        <v>280</v>
      </c>
      <c r="F7" s="3" t="s">
        <v>281</v>
      </c>
    </row>
    <row r="8" customFormat="false" ht="26.85" hidden="false" customHeight="false" outlineLevel="0" collapsed="false">
      <c r="A8" s="3" t="s">
        <v>146</v>
      </c>
      <c r="B8" s="3" t="s">
        <v>282</v>
      </c>
      <c r="C8" s="3" t="s">
        <v>283</v>
      </c>
      <c r="D8" s="3" t="s">
        <v>284</v>
      </c>
      <c r="E8" s="3" t="s">
        <v>285</v>
      </c>
      <c r="F8" s="3" t="s">
        <v>286</v>
      </c>
    </row>
    <row r="9" customFormat="false" ht="26.85" hidden="false" customHeight="false" outlineLevel="0" collapsed="false">
      <c r="A9" s="3" t="s">
        <v>287</v>
      </c>
      <c r="B9" s="3" t="s">
        <v>288</v>
      </c>
      <c r="C9" s="3" t="s">
        <v>289</v>
      </c>
      <c r="D9" s="3" t="s">
        <v>284</v>
      </c>
      <c r="E9" s="3" t="s">
        <v>290</v>
      </c>
      <c r="F9" s="3" t="s">
        <v>291</v>
      </c>
    </row>
    <row r="10" customFormat="false" ht="26.85" hidden="false" customHeight="false" outlineLevel="0" collapsed="false">
      <c r="A10" s="3" t="s">
        <v>292</v>
      </c>
      <c r="B10" s="3" t="s">
        <v>293</v>
      </c>
      <c r="C10" s="3" t="s">
        <v>294</v>
      </c>
      <c r="D10" s="3" t="s">
        <v>295</v>
      </c>
      <c r="E10" s="3" t="s">
        <v>280</v>
      </c>
      <c r="F10" s="3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2026-10-21T08:21:22Z</dcterms:created>
  <dc:creator>openpyxl</dc:creator>
  <dc:description/>
  <dc:language>en-US</dc:language>
  <cp:lastModifiedBy/>
  <dcterms:modified xsi:type="dcterms:W3CDTF">2026-10-21T08:21:22Z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